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429\Documents\LATSAR\Data-Data\"/>
    </mc:Choice>
  </mc:AlternateContent>
  <xr:revisionPtr revIDLastSave="0" documentId="13_ncr:1_{95EAC78A-F393-4B2B-8872-A46D0ECD4A5A}" xr6:coauthVersionLast="47" xr6:coauthVersionMax="47" xr10:uidLastSave="{00000000-0000-0000-0000-000000000000}"/>
  <bookViews>
    <workbookView xWindow="-110" yWindow="-110" windowWidth="19420" windowHeight="11500" tabRatio="555" activeTab="4" xr2:uid="{00000000-000D-0000-FFFF-FFFF00000000}"/>
  </bookViews>
  <sheets>
    <sheet name="Settings" sheetId="92" r:id="rId1"/>
    <sheet name="InfoQ" sheetId="82" r:id="rId2"/>
    <sheet name="QuarterlyData" sheetId="76" r:id="rId3"/>
    <sheet name="InfoM" sheetId="93" r:id="rId4"/>
    <sheet name="MonthlyData" sheetId="77" r:id="rId5"/>
    <sheet name="Calendar" sheetId="91" r:id="rId6"/>
  </sheets>
  <definedNames>
    <definedName name="_DLX1.CDN" localSheetId="5">#REF!</definedName>
    <definedName name="_DLX1.CDN">#REF!</definedName>
    <definedName name="_xlnm._FilterDatabase" localSheetId="5" hidden="1">Calendar!$A$1:$LZ$5</definedName>
    <definedName name="_xlnm._FilterDatabase" localSheetId="3" hidden="1">InfoM!$A$1:$L$19</definedName>
    <definedName name="_xlnm._FilterDatabase" localSheetId="1" hidden="1">InfoQ!$A$1:$L$19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 iterate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" i="76" l="1"/>
  <c r="C133" i="76"/>
  <c r="B5" i="92"/>
  <c r="C15" i="91"/>
  <c r="B15" i="91"/>
  <c r="A15" i="91"/>
  <c r="C14" i="91"/>
  <c r="B14" i="91"/>
  <c r="A14" i="91"/>
  <c r="C13" i="91"/>
  <c r="B13" i="91"/>
  <c r="A13" i="91"/>
  <c r="C12" i="91"/>
  <c r="B12" i="91"/>
  <c r="A12" i="91"/>
  <c r="C11" i="91"/>
  <c r="B11" i="91"/>
  <c r="A11" i="91"/>
  <c r="C10" i="91"/>
  <c r="B10" i="91"/>
  <c r="A10" i="91"/>
  <c r="C9" i="91"/>
  <c r="B9" i="91"/>
  <c r="A9" i="91"/>
  <c r="C8" i="91"/>
  <c r="B8" i="91"/>
  <c r="B16" i="91" s="1"/>
  <c r="A8" i="91"/>
  <c r="C7" i="91"/>
  <c r="B7" i="91"/>
  <c r="A7" i="91"/>
  <c r="C6" i="91"/>
  <c r="B6" i="91"/>
  <c r="A6" i="91"/>
  <c r="B4" i="91"/>
  <c r="A4" i="91"/>
  <c r="B3" i="91"/>
  <c r="A3" i="91"/>
  <c r="B5" i="91"/>
  <c r="A5" i="91"/>
  <c r="B4" i="92"/>
  <c r="A2" i="76"/>
  <c r="A3" i="76" s="1"/>
  <c r="A4" i="76" s="1"/>
  <c r="A5" i="76" s="1"/>
  <c r="A6" i="76" s="1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A98" i="76" s="1"/>
  <c r="A99" i="76" s="1"/>
  <c r="A100" i="76" s="1"/>
  <c r="A101" i="76" s="1"/>
  <c r="A102" i="76" s="1"/>
  <c r="A103" i="76" s="1"/>
  <c r="A104" i="76" s="1"/>
  <c r="A105" i="76" s="1"/>
  <c r="A106" i="76" s="1"/>
  <c r="A107" i="76" s="1"/>
  <c r="A108" i="76" s="1"/>
  <c r="A109" i="76" s="1"/>
  <c r="A110" i="76" s="1"/>
  <c r="A111" i="76" s="1"/>
  <c r="A112" i="76" s="1"/>
  <c r="A113" i="76" s="1"/>
  <c r="A114" i="76" s="1"/>
  <c r="A115" i="76" s="1"/>
  <c r="A116" i="76" s="1"/>
  <c r="A117" i="76" s="1"/>
  <c r="A118" i="76" s="1"/>
  <c r="A119" i="76" s="1"/>
  <c r="A120" i="76" s="1"/>
  <c r="A121" i="76" s="1"/>
  <c r="A122" i="76" s="1"/>
  <c r="A123" i="76" s="1"/>
  <c r="A124" i="76" s="1"/>
  <c r="A125" i="76" s="1"/>
  <c r="A126" i="76" s="1"/>
  <c r="A127" i="76" s="1"/>
  <c r="A128" i="76" s="1"/>
  <c r="A129" i="76" s="1"/>
  <c r="A130" i="76" s="1"/>
  <c r="A131" i="76" s="1"/>
  <c r="A132" i="76" s="1"/>
  <c r="A133" i="76" s="1"/>
  <c r="A134" i="76" s="1"/>
  <c r="A135" i="76" s="1"/>
  <c r="A136" i="76" s="1"/>
  <c r="A137" i="76" s="1"/>
  <c r="A2" i="77"/>
  <c r="A3" i="77" s="1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A181" i="77" s="1"/>
  <c r="A182" i="77" s="1"/>
  <c r="A183" i="77" s="1"/>
  <c r="A184" i="77" s="1"/>
  <c r="A185" i="77" s="1"/>
  <c r="A186" i="77" s="1"/>
  <c r="A187" i="77" s="1"/>
  <c r="A188" i="77" s="1"/>
  <c r="A189" i="77" s="1"/>
  <c r="A190" i="77" s="1"/>
  <c r="A191" i="77" s="1"/>
  <c r="A192" i="77" s="1"/>
  <c r="A193" i="77" s="1"/>
  <c r="A194" i="77" s="1"/>
  <c r="A195" i="77" s="1"/>
  <c r="A196" i="77" s="1"/>
  <c r="A197" i="77" s="1"/>
  <c r="A198" i="77" s="1"/>
  <c r="A199" i="77" s="1"/>
  <c r="A200" i="77" s="1"/>
  <c r="A201" i="77" s="1"/>
  <c r="A202" i="77" s="1"/>
  <c r="A203" i="77" s="1"/>
  <c r="A204" i="77" s="1"/>
  <c r="A205" i="77" s="1"/>
  <c r="A206" i="77" s="1"/>
  <c r="A207" i="77" s="1"/>
  <c r="A208" i="77" s="1"/>
  <c r="A209" i="77" s="1"/>
  <c r="A210" i="77" s="1"/>
  <c r="A211" i="77" s="1"/>
  <c r="A212" i="77" s="1"/>
  <c r="A213" i="77" s="1"/>
  <c r="A214" i="77" s="1"/>
  <c r="A215" i="77" s="1"/>
  <c r="A216" i="77" s="1"/>
  <c r="A217" i="77" s="1"/>
  <c r="A218" i="77" s="1"/>
  <c r="A219" i="77" s="1"/>
  <c r="A220" i="77" s="1"/>
  <c r="A221" i="77" s="1"/>
  <c r="A222" i="77" s="1"/>
  <c r="A223" i="77" s="1"/>
  <c r="A224" i="77" s="1"/>
  <c r="A225" i="77" s="1"/>
  <c r="A226" i="77" s="1"/>
  <c r="A227" i="77" s="1"/>
  <c r="A228" i="77" s="1"/>
  <c r="A229" i="77" s="1"/>
  <c r="A230" i="77" s="1"/>
  <c r="A231" i="77" s="1"/>
  <c r="A232" i="77" s="1"/>
  <c r="A233" i="77" s="1"/>
  <c r="A234" i="77" s="1"/>
  <c r="A235" i="77" s="1"/>
  <c r="A236" i="77" s="1"/>
  <c r="A237" i="77" s="1"/>
  <c r="A238" i="77" s="1"/>
  <c r="A239" i="77" s="1"/>
  <c r="A240" i="77" s="1"/>
  <c r="A241" i="77" s="1"/>
  <c r="A242" i="77" s="1"/>
  <c r="A243" i="77" s="1"/>
  <c r="A244" i="77" s="1"/>
  <c r="A245" i="77" s="1"/>
  <c r="A246" i="77" s="1"/>
  <c r="A247" i="77" s="1"/>
  <c r="A248" i="77" s="1"/>
  <c r="A249" i="77" s="1"/>
  <c r="A250" i="77" s="1"/>
  <c r="A251" i="77" s="1"/>
  <c r="A252" i="77" s="1"/>
  <c r="A253" i="77" s="1"/>
  <c r="A254" i="77" s="1"/>
  <c r="A255" i="77" s="1"/>
  <c r="A256" i="77" s="1"/>
  <c r="A257" i="77" s="1"/>
  <c r="A258" i="77" s="1"/>
  <c r="A259" i="77" s="1"/>
  <c r="A260" i="77" s="1"/>
  <c r="A261" i="77" s="1"/>
  <c r="A262" i="77" s="1"/>
  <c r="A263" i="77" s="1"/>
  <c r="A264" i="77" s="1"/>
  <c r="A265" i="77" s="1"/>
  <c r="A266" i="77" s="1"/>
  <c r="A267" i="77" s="1"/>
  <c r="A268" i="77" s="1"/>
  <c r="A269" i="77" s="1"/>
  <c r="A270" i="77" s="1"/>
  <c r="A271" i="77" s="1"/>
  <c r="A272" i="77" s="1"/>
  <c r="A273" i="77" s="1"/>
  <c r="A274" i="77" s="1"/>
  <c r="A275" i="77" s="1"/>
  <c r="A276" i="77" s="1"/>
  <c r="A277" i="77" s="1"/>
  <c r="A278" i="77" s="1"/>
  <c r="A279" i="77" s="1"/>
  <c r="A280" i="77" s="1"/>
  <c r="A281" i="77" s="1"/>
  <c r="A282" i="77" s="1"/>
  <c r="A283" i="77" s="1"/>
  <c r="A284" i="77" s="1"/>
  <c r="A285" i="77" s="1"/>
  <c r="A286" i="77" s="1"/>
  <c r="A287" i="77" s="1"/>
  <c r="A288" i="77" s="1"/>
  <c r="A289" i="77" s="1"/>
  <c r="A290" i="77" s="1"/>
  <c r="A291" i="77" s="1"/>
  <c r="A292" i="77" s="1"/>
  <c r="A293" i="77" s="1"/>
  <c r="A294" i="77" s="1"/>
  <c r="A295" i="77" s="1"/>
  <c r="A296" i="77" s="1"/>
  <c r="A297" i="77" s="1"/>
  <c r="A298" i="77" s="1"/>
  <c r="A299" i="77" s="1"/>
  <c r="A300" i="77" s="1"/>
  <c r="A301" i="77" s="1"/>
  <c r="A302" i="77" s="1"/>
  <c r="A303" i="77" s="1"/>
  <c r="A304" i="77" s="1"/>
  <c r="A305" i="77" s="1"/>
  <c r="A306" i="77" s="1"/>
  <c r="A307" i="77" s="1"/>
  <c r="A308" i="77" s="1"/>
  <c r="A309" i="77" s="1"/>
  <c r="A310" i="77" s="1"/>
  <c r="A311" i="77" s="1"/>
  <c r="A312" i="77" s="1"/>
  <c r="A313" i="77" s="1"/>
  <c r="A314" i="77" s="1"/>
  <c r="A315" i="77" s="1"/>
  <c r="A316" i="77" s="1"/>
  <c r="A317" i="77" s="1"/>
  <c r="A318" i="77" s="1"/>
  <c r="A319" i="77" s="1"/>
  <c r="A320" i="77" s="1"/>
  <c r="A321" i="77" s="1"/>
  <c r="A322" i="77" s="1"/>
  <c r="A323" i="77" s="1"/>
  <c r="A324" i="77" s="1"/>
  <c r="A325" i="77" s="1"/>
  <c r="A326" i="77" s="1"/>
  <c r="A327" i="77" s="1"/>
  <c r="A328" i="77" s="1"/>
  <c r="A329" i="77" s="1"/>
  <c r="A330" i="77" s="1"/>
  <c r="A331" i="77" s="1"/>
  <c r="A332" i="77" s="1"/>
  <c r="A333" i="77" s="1"/>
  <c r="A334" i="77" s="1"/>
  <c r="A335" i="77" s="1"/>
  <c r="A336" i="77" s="1"/>
  <c r="A337" i="77" s="1"/>
  <c r="A338" i="77" s="1"/>
  <c r="A339" i="77" s="1"/>
  <c r="A340" i="77" s="1"/>
  <c r="A341" i="77" s="1"/>
  <c r="A342" i="77" s="1"/>
  <c r="A343" i="77" s="1"/>
  <c r="A344" i="77" s="1"/>
  <c r="A345" i="77" s="1"/>
  <c r="A346" i="77" s="1"/>
  <c r="A347" i="77" s="1"/>
  <c r="A348" i="77" s="1"/>
  <c r="A349" i="77" s="1"/>
  <c r="A350" i="77" s="1"/>
  <c r="A351" i="77" s="1"/>
  <c r="A352" i="77" s="1"/>
  <c r="A353" i="77" s="1"/>
  <c r="A354" i="77" s="1"/>
  <c r="A355" i="77" s="1"/>
  <c r="A356" i="77" s="1"/>
  <c r="A357" i="77" s="1"/>
  <c r="A358" i="77" s="1"/>
  <c r="A359" i="77" s="1"/>
  <c r="A360" i="77" s="1"/>
  <c r="A361" i="77" s="1"/>
  <c r="A362" i="77" s="1"/>
  <c r="A363" i="77" s="1"/>
  <c r="A364" i="77" s="1"/>
  <c r="A365" i="77" s="1"/>
  <c r="A366" i="77" s="1"/>
  <c r="A367" i="77" s="1"/>
  <c r="A368" i="77" s="1"/>
  <c r="A369" i="77" s="1"/>
  <c r="A370" i="77" s="1"/>
  <c r="A371" i="77" s="1"/>
  <c r="A372" i="77" s="1"/>
  <c r="A373" i="77" s="1"/>
  <c r="A374" i="77" s="1"/>
  <c r="A375" i="77" s="1"/>
  <c r="A376" i="77" s="1"/>
  <c r="A377" i="77" s="1"/>
  <c r="A378" i="77" s="1"/>
  <c r="A379" i="77" s="1"/>
  <c r="A380" i="77" s="1"/>
  <c r="A381" i="77" s="1"/>
  <c r="A382" i="77" s="1"/>
  <c r="A383" i="77" s="1"/>
  <c r="A384" i="77" s="1"/>
  <c r="A385" i="77" s="1"/>
  <c r="A386" i="77" s="1"/>
  <c r="A387" i="77" s="1"/>
  <c r="A388" i="77" s="1"/>
  <c r="A389" i="77" s="1"/>
  <c r="A390" i="77" s="1"/>
  <c r="A391" i="77" s="1"/>
  <c r="A392" i="77" s="1"/>
  <c r="A393" i="77" s="1"/>
  <c r="A394" i="77" s="1"/>
  <c r="A395" i="77" s="1"/>
  <c r="A396" i="77" s="1"/>
  <c r="A397" i="77" s="1"/>
  <c r="A398" i="77" s="1"/>
  <c r="A399" i="77" s="1"/>
  <c r="A400" i="77" s="1"/>
  <c r="A401" i="77" s="1"/>
  <c r="A402" i="77" s="1"/>
  <c r="A403" i="77" s="1"/>
  <c r="A404" i="77" s="1"/>
  <c r="A405" i="77" s="1"/>
  <c r="A406" i="77" s="1"/>
  <c r="A407" i="77" s="1"/>
  <c r="A408" i="77" s="1"/>
  <c r="A409" i="77" s="1"/>
  <c r="C1" i="91"/>
  <c r="C5" i="91" s="1"/>
  <c r="B3" i="92"/>
  <c r="B2" i="91"/>
  <c r="A2" i="91"/>
  <c r="A1" i="76" a="1"/>
  <c r="A1" i="77" a="1"/>
  <c r="A1" i="77" l="1"/>
  <c r="A1" i="76"/>
  <c r="D1" i="91"/>
  <c r="D5" i="91" l="1"/>
  <c r="D9" i="91"/>
  <c r="D7" i="91"/>
  <c r="D6" i="91"/>
  <c r="D15" i="91"/>
  <c r="D8" i="91"/>
  <c r="D14" i="91"/>
  <c r="D11" i="91"/>
  <c r="D13" i="91"/>
  <c r="D10" i="91"/>
  <c r="D12" i="91"/>
  <c r="E1" i="91"/>
  <c r="E4" i="91" l="1"/>
  <c r="E12" i="91"/>
  <c r="E11" i="91"/>
  <c r="E14" i="91"/>
  <c r="E8" i="91"/>
  <c r="E15" i="91"/>
  <c r="E6" i="91"/>
  <c r="E10" i="91"/>
  <c r="E7" i="91"/>
  <c r="E13" i="91"/>
  <c r="E9" i="91"/>
  <c r="E5" i="91"/>
  <c r="E3" i="91"/>
  <c r="F1" i="91"/>
  <c r="F5" i="91" l="1"/>
  <c r="F13" i="91"/>
  <c r="F14" i="91"/>
  <c r="F12" i="91"/>
  <c r="F7" i="91"/>
  <c r="F11" i="91"/>
  <c r="F9" i="91"/>
  <c r="F8" i="91"/>
  <c r="F6" i="91"/>
  <c r="F15" i="91"/>
  <c r="F10" i="91"/>
  <c r="G1" i="91"/>
  <c r="G5" i="91" l="1"/>
  <c r="G12" i="91"/>
  <c r="G11" i="91"/>
  <c r="G9" i="91"/>
  <c r="G8" i="91"/>
  <c r="G13" i="91"/>
  <c r="G14" i="91"/>
  <c r="G7" i="91"/>
  <c r="G6" i="91"/>
  <c r="G15" i="91"/>
  <c r="G10" i="91"/>
  <c r="H1" i="91"/>
  <c r="E2" i="91"/>
  <c r="H4" i="91" l="1"/>
  <c r="H13" i="91"/>
  <c r="H15" i="91"/>
  <c r="H12" i="91"/>
  <c r="H14" i="91"/>
  <c r="H10" i="91"/>
  <c r="H7" i="91"/>
  <c r="H11" i="91"/>
  <c r="H9" i="91"/>
  <c r="H8" i="91"/>
  <c r="H6" i="91"/>
  <c r="H5" i="91"/>
  <c r="H3" i="91"/>
  <c r="I1" i="91"/>
  <c r="H2" i="91"/>
  <c r="I5" i="91" l="1"/>
  <c r="I15" i="91"/>
  <c r="I13" i="91"/>
  <c r="I11" i="91"/>
  <c r="I10" i="91"/>
  <c r="I14" i="91"/>
  <c r="I7" i="91"/>
  <c r="I6" i="91"/>
  <c r="I8" i="91"/>
  <c r="I12" i="91"/>
  <c r="I9" i="91"/>
  <c r="J1" i="91"/>
  <c r="J5" i="91" l="1"/>
  <c r="J14" i="91"/>
  <c r="J13" i="91"/>
  <c r="J6" i="91"/>
  <c r="J7" i="91"/>
  <c r="J15" i="91"/>
  <c r="J10" i="91"/>
  <c r="J9" i="91"/>
  <c r="J8" i="91"/>
  <c r="J11" i="91"/>
  <c r="J12" i="91"/>
  <c r="K1" i="91"/>
  <c r="K4" i="91" l="1"/>
  <c r="K15" i="91"/>
  <c r="K14" i="91"/>
  <c r="K11" i="91"/>
  <c r="K10" i="91"/>
  <c r="K9" i="91"/>
  <c r="K8" i="91"/>
  <c r="K6" i="91"/>
  <c r="K13" i="91"/>
  <c r="K12" i="91"/>
  <c r="K7" i="91"/>
  <c r="K5" i="91"/>
  <c r="K3" i="91"/>
  <c r="K2" i="91"/>
  <c r="L1" i="91"/>
  <c r="L5" i="91" l="1"/>
  <c r="L14" i="91"/>
  <c r="L12" i="91"/>
  <c r="L11" i="91"/>
  <c r="L8" i="91"/>
  <c r="L6" i="91"/>
  <c r="L10" i="91"/>
  <c r="L9" i="91"/>
  <c r="L15" i="91"/>
  <c r="L13" i="91"/>
  <c r="L7" i="91"/>
  <c r="M1" i="91"/>
  <c r="M5" i="91" l="1"/>
  <c r="M14" i="91"/>
  <c r="M12" i="91"/>
  <c r="M10" i="91"/>
  <c r="M7" i="91"/>
  <c r="M13" i="91"/>
  <c r="M15" i="91"/>
  <c r="M9" i="91"/>
  <c r="M6" i="91"/>
  <c r="M8" i="91"/>
  <c r="M11" i="91"/>
  <c r="N1" i="91"/>
  <c r="N4" i="91" l="1"/>
  <c r="N13" i="91"/>
  <c r="N12" i="91"/>
  <c r="N8" i="91"/>
  <c r="N14" i="91"/>
  <c r="N15" i="91"/>
  <c r="N9" i="91"/>
  <c r="N10" i="91"/>
  <c r="N11" i="91"/>
  <c r="N7" i="91"/>
  <c r="N6" i="91"/>
  <c r="N5" i="91"/>
  <c r="N3" i="91"/>
  <c r="N2" i="91"/>
  <c r="O1" i="91"/>
  <c r="O5" i="91" l="1"/>
  <c r="O15" i="91"/>
  <c r="O10" i="91"/>
  <c r="O7" i="91"/>
  <c r="O9" i="91"/>
  <c r="O6" i="91"/>
  <c r="O12" i="91"/>
  <c r="O11" i="91"/>
  <c r="O8" i="91"/>
  <c r="O14" i="91"/>
  <c r="O13" i="91"/>
  <c r="P1" i="91"/>
  <c r="P5" i="91" l="1"/>
  <c r="P13" i="91"/>
  <c r="P15" i="91"/>
  <c r="P11" i="91"/>
  <c r="P12" i="91"/>
  <c r="P10" i="91"/>
  <c r="P9" i="91"/>
  <c r="P14" i="91"/>
  <c r="P8" i="91"/>
  <c r="P6" i="91"/>
  <c r="P7" i="91"/>
  <c r="Q1" i="91"/>
  <c r="Q4" i="91" l="1"/>
  <c r="Q10" i="91"/>
  <c r="Q8" i="91"/>
  <c r="Q14" i="91"/>
  <c r="Q12" i="91"/>
  <c r="Q11" i="91"/>
  <c r="Q7" i="91"/>
  <c r="Q15" i="91"/>
  <c r="Q13" i="91"/>
  <c r="Q6" i="91"/>
  <c r="Q9" i="91"/>
  <c r="Q5" i="91"/>
  <c r="Q3" i="91"/>
  <c r="R1" i="91"/>
  <c r="Q2" i="91"/>
  <c r="R5" i="91" l="1"/>
  <c r="R13" i="91"/>
  <c r="R9" i="91"/>
  <c r="R6" i="91"/>
  <c r="R11" i="91"/>
  <c r="R10" i="91"/>
  <c r="R15" i="91"/>
  <c r="R7" i="91"/>
  <c r="R12" i="91"/>
  <c r="R8" i="91"/>
  <c r="R14" i="91"/>
  <c r="S1" i="91"/>
  <c r="S5" i="91" l="1"/>
  <c r="S15" i="91"/>
  <c r="S10" i="91"/>
  <c r="S11" i="91"/>
  <c r="S9" i="91"/>
  <c r="S6" i="91"/>
  <c r="S13" i="91"/>
  <c r="S7" i="91"/>
  <c r="S12" i="91"/>
  <c r="S14" i="91"/>
  <c r="S8" i="91"/>
  <c r="T1" i="91"/>
  <c r="T4" i="91" l="1"/>
  <c r="T15" i="91"/>
  <c r="T10" i="91"/>
  <c r="T6" i="91"/>
  <c r="T11" i="91"/>
  <c r="T13" i="91"/>
  <c r="T12" i="91"/>
  <c r="T7" i="91"/>
  <c r="T9" i="91"/>
  <c r="T8" i="91"/>
  <c r="T14" i="91"/>
  <c r="T5" i="91"/>
  <c r="T3" i="91"/>
  <c r="U1" i="91"/>
  <c r="T2" i="91"/>
  <c r="U5" i="91" l="1"/>
  <c r="U14" i="91"/>
  <c r="U12" i="91"/>
  <c r="U8" i="91"/>
  <c r="U7" i="91"/>
  <c r="U10" i="91"/>
  <c r="U15" i="91"/>
  <c r="U6" i="91"/>
  <c r="U11" i="91"/>
  <c r="U13" i="91"/>
  <c r="U9" i="91"/>
  <c r="V1" i="91"/>
  <c r="V5" i="91" l="1"/>
  <c r="V15" i="91"/>
  <c r="V13" i="91"/>
  <c r="V12" i="91"/>
  <c r="V8" i="91"/>
  <c r="V7" i="91"/>
  <c r="V14" i="91"/>
  <c r="V6" i="91"/>
  <c r="V11" i="91"/>
  <c r="V9" i="91"/>
  <c r="V10" i="91"/>
  <c r="W1" i="91"/>
  <c r="W4" i="91" l="1"/>
  <c r="W15" i="91"/>
  <c r="W13" i="91"/>
  <c r="W9" i="91"/>
  <c r="W12" i="91"/>
  <c r="W8" i="91"/>
  <c r="W11" i="91"/>
  <c r="W10" i="91"/>
  <c r="W6" i="91"/>
  <c r="W7" i="91"/>
  <c r="W14" i="91"/>
  <c r="W5" i="91"/>
  <c r="W3" i="91"/>
  <c r="W2" i="91"/>
  <c r="X1" i="91"/>
  <c r="X5" i="91" l="1"/>
  <c r="X12" i="91"/>
  <c r="X10" i="91"/>
  <c r="X13" i="91"/>
  <c r="X7" i="91"/>
  <c r="X14" i="91"/>
  <c r="X15" i="91"/>
  <c r="X9" i="91"/>
  <c r="X11" i="91"/>
  <c r="X6" i="91"/>
  <c r="X8" i="91"/>
  <c r="Y1" i="91"/>
  <c r="Y5" i="91" l="1"/>
  <c r="Y14" i="91"/>
  <c r="Y9" i="91"/>
  <c r="Y15" i="91"/>
  <c r="Y11" i="91"/>
  <c r="Y13" i="91"/>
  <c r="Y6" i="91"/>
  <c r="Y12" i="91"/>
  <c r="Y10" i="91"/>
  <c r="Y7" i="91"/>
  <c r="Y8" i="91"/>
  <c r="Z1" i="91"/>
  <c r="Z4" i="91" l="1"/>
  <c r="Z15" i="91"/>
  <c r="Z11" i="91"/>
  <c r="Z10" i="91"/>
  <c r="Z13" i="91"/>
  <c r="Z6" i="91"/>
  <c r="Z7" i="91"/>
  <c r="Z9" i="91"/>
  <c r="Z14" i="91"/>
  <c r="Z8" i="91"/>
  <c r="Z12" i="91"/>
  <c r="Z5" i="91"/>
  <c r="Z3" i="91"/>
  <c r="Z2" i="91"/>
  <c r="AA1" i="91"/>
  <c r="AA5" i="91" l="1"/>
  <c r="AA11" i="91"/>
  <c r="AA9" i="91"/>
  <c r="AA12" i="91"/>
  <c r="AA13" i="91"/>
  <c r="AA8" i="91"/>
  <c r="AA7" i="91"/>
  <c r="AA15" i="91"/>
  <c r="AA10" i="91"/>
  <c r="AA6" i="91"/>
  <c r="AA14" i="91"/>
  <c r="AB1" i="91"/>
  <c r="AB5" i="91" l="1"/>
  <c r="AB12" i="91"/>
  <c r="AB15" i="91"/>
  <c r="AB8" i="91"/>
  <c r="AB7" i="91"/>
  <c r="AB14" i="91"/>
  <c r="AB9" i="91"/>
  <c r="AB13" i="91"/>
  <c r="AB10" i="91"/>
  <c r="AB6" i="91"/>
  <c r="AB11" i="91"/>
  <c r="AC1" i="91"/>
  <c r="AC4" i="91" l="1"/>
  <c r="AC13" i="91"/>
  <c r="AC12" i="91"/>
  <c r="AC14" i="91"/>
  <c r="AC10" i="91"/>
  <c r="AC9" i="91"/>
  <c r="AC7" i="91"/>
  <c r="AC8" i="91"/>
  <c r="AC6" i="91"/>
  <c r="AC11" i="91"/>
  <c r="AC15" i="91"/>
  <c r="AC5" i="91"/>
  <c r="AC3" i="91"/>
  <c r="AD1" i="91"/>
  <c r="AC2" i="91"/>
  <c r="AD15" i="91" l="1"/>
  <c r="AD8" i="91"/>
  <c r="AD7" i="91"/>
  <c r="AD14" i="91"/>
  <c r="AD13" i="91"/>
  <c r="AD12" i="91"/>
  <c r="AD10" i="91"/>
  <c r="AD9" i="91"/>
  <c r="AD6" i="91"/>
  <c r="AD11" i="91"/>
  <c r="AE1" i="91"/>
  <c r="AD5" i="91"/>
  <c r="AE5" i="91" l="1"/>
  <c r="AE15" i="91"/>
  <c r="AE13" i="91"/>
  <c r="AE14" i="91"/>
  <c r="AE12" i="91"/>
  <c r="AE6" i="91"/>
  <c r="AE9" i="91"/>
  <c r="AE7" i="91"/>
  <c r="AE10" i="91"/>
  <c r="AE8" i="91"/>
  <c r="AE11" i="91"/>
  <c r="AF1" i="91"/>
  <c r="AF5" i="91" s="1"/>
  <c r="AF3" i="91" l="1"/>
  <c r="AF2" i="91"/>
  <c r="AG1" i="91"/>
  <c r="AH1" i="91" s="1"/>
  <c r="AF4" i="91"/>
  <c r="AF14" i="91"/>
  <c r="AF12" i="91"/>
  <c r="AF11" i="91"/>
  <c r="AF9" i="91"/>
  <c r="AF6" i="91"/>
  <c r="AF13" i="91"/>
  <c r="AF7" i="91"/>
  <c r="AF10" i="91"/>
  <c r="AF8" i="91"/>
  <c r="AF15" i="91"/>
  <c r="AH5" i="91" l="1"/>
  <c r="AH15" i="91"/>
  <c r="AH13" i="91"/>
  <c r="AH10" i="91"/>
  <c r="AH14" i="91"/>
  <c r="AH11" i="91"/>
  <c r="AH7" i="91"/>
  <c r="AH8" i="91"/>
  <c r="AH9" i="91"/>
  <c r="AH6" i="91"/>
  <c r="AH12" i="91"/>
  <c r="AG5" i="91"/>
  <c r="AG14" i="91"/>
  <c r="AG12" i="91"/>
  <c r="AG11" i="91"/>
  <c r="AG8" i="91"/>
  <c r="AG7" i="91"/>
  <c r="AG6" i="91"/>
  <c r="AG15" i="91"/>
  <c r="AG13" i="91"/>
  <c r="AG10" i="91"/>
  <c r="AG9" i="91"/>
  <c r="AI1" i="91"/>
  <c r="AI4" i="91" l="1"/>
  <c r="AI15" i="91"/>
  <c r="AI12" i="91"/>
  <c r="AI11" i="91"/>
  <c r="AI8" i="91"/>
  <c r="AI7" i="91"/>
  <c r="AI14" i="91"/>
  <c r="AI13" i="91"/>
  <c r="AI10" i="91"/>
  <c r="AI9" i="91"/>
  <c r="AI6" i="91"/>
  <c r="AI5" i="91"/>
  <c r="AI3" i="91"/>
  <c r="AJ1" i="91"/>
  <c r="AI2" i="91"/>
  <c r="AJ5" i="91" l="1"/>
  <c r="AJ12" i="91"/>
  <c r="AJ10" i="91"/>
  <c r="AJ13" i="91"/>
  <c r="AJ14" i="91"/>
  <c r="AJ11" i="91"/>
  <c r="AJ15" i="91"/>
  <c r="AJ8" i="91"/>
  <c r="AJ9" i="91"/>
  <c r="AJ6" i="91"/>
  <c r="AJ7" i="91"/>
  <c r="AK1" i="91"/>
  <c r="AK5" i="91" l="1"/>
  <c r="AK13" i="91"/>
  <c r="AK10" i="91"/>
  <c r="AK8" i="91"/>
  <c r="AK14" i="91"/>
  <c r="AK12" i="91"/>
  <c r="AK9" i="91"/>
  <c r="AK11" i="91"/>
  <c r="AK15" i="91"/>
  <c r="AK6" i="91"/>
  <c r="AK7" i="91"/>
  <c r="AL1" i="91"/>
  <c r="AL4" i="91" l="1"/>
  <c r="AL14" i="91"/>
  <c r="AL12" i="91"/>
  <c r="AL13" i="91"/>
  <c r="AL6" i="91"/>
  <c r="AL15" i="91"/>
  <c r="AL8" i="91"/>
  <c r="AL9" i="91"/>
  <c r="AL10" i="91"/>
  <c r="AL7" i="91"/>
  <c r="AL11" i="91"/>
  <c r="AL5" i="91"/>
  <c r="AL3" i="91"/>
  <c r="AL2" i="91"/>
  <c r="AM1" i="91"/>
  <c r="AM5" i="91" l="1"/>
  <c r="AM9" i="91"/>
  <c r="AM15" i="91"/>
  <c r="AM8" i="91"/>
  <c r="AM6" i="91"/>
  <c r="AM7" i="91"/>
  <c r="AM10" i="91"/>
  <c r="AM13" i="91"/>
  <c r="AM11" i="91"/>
  <c r="AM12" i="91"/>
  <c r="AM14" i="91"/>
  <c r="AN1" i="91"/>
  <c r="AN5" i="91" l="1"/>
  <c r="AN14" i="91"/>
  <c r="AN15" i="91"/>
  <c r="AN13" i="91"/>
  <c r="AN12" i="91"/>
  <c r="AN9" i="91"/>
  <c r="AN11" i="91"/>
  <c r="AN10" i="91"/>
  <c r="AN7" i="91"/>
  <c r="AN8" i="91"/>
  <c r="AN6" i="91"/>
  <c r="AO1" i="91"/>
  <c r="AO4" i="91" l="1"/>
  <c r="AO14" i="91"/>
  <c r="AO13" i="91"/>
  <c r="AO15" i="91"/>
  <c r="AO6" i="91"/>
  <c r="AO7" i="91"/>
  <c r="AO12" i="91"/>
  <c r="AO10" i="91"/>
  <c r="AO9" i="91"/>
  <c r="AO8" i="91"/>
  <c r="AO11" i="91"/>
  <c r="AO5" i="91"/>
  <c r="AO3" i="91"/>
  <c r="AP1" i="91"/>
  <c r="AO2" i="91"/>
  <c r="AP5" i="91" l="1"/>
  <c r="AP15" i="91"/>
  <c r="AP13" i="91"/>
  <c r="AP11" i="91"/>
  <c r="AP10" i="91"/>
  <c r="AP12" i="91"/>
  <c r="AP7" i="91"/>
  <c r="AP9" i="91"/>
  <c r="AP8" i="91"/>
  <c r="AP6" i="91"/>
  <c r="AP14" i="91"/>
  <c r="AQ1" i="91"/>
  <c r="AQ5" i="91" l="1"/>
  <c r="AQ15" i="91"/>
  <c r="AQ13" i="91"/>
  <c r="AQ14" i="91"/>
  <c r="AQ10" i="91"/>
  <c r="AQ12" i="91"/>
  <c r="AQ6" i="91"/>
  <c r="AQ9" i="91"/>
  <c r="AQ8" i="91"/>
  <c r="AQ11" i="91"/>
  <c r="AQ7" i="91"/>
  <c r="AR1" i="91"/>
  <c r="AR4" i="91" l="1"/>
  <c r="AR9" i="91"/>
  <c r="AR11" i="91"/>
  <c r="AR7" i="91"/>
  <c r="AR12" i="91"/>
  <c r="AR10" i="91"/>
  <c r="AR14" i="91"/>
  <c r="AR13" i="91"/>
  <c r="AR6" i="91"/>
  <c r="AR8" i="91"/>
  <c r="AR15" i="91"/>
  <c r="AR5" i="91"/>
  <c r="AR3" i="91"/>
  <c r="AS1" i="91"/>
  <c r="AR2" i="91"/>
  <c r="AS5" i="91" l="1"/>
  <c r="AS6" i="91"/>
  <c r="AS13" i="91"/>
  <c r="AS7" i="91"/>
  <c r="AS8" i="91"/>
  <c r="AS14" i="91"/>
  <c r="AS12" i="91"/>
  <c r="AS9" i="91"/>
  <c r="AS11" i="91"/>
  <c r="AS10" i="91"/>
  <c r="AS15" i="91"/>
  <c r="AT1" i="91"/>
  <c r="AT5" i="91" l="1"/>
  <c r="AT9" i="91"/>
  <c r="AT14" i="91"/>
  <c r="AT8" i="91"/>
  <c r="AT7" i="91"/>
  <c r="AT12" i="91"/>
  <c r="AT13" i="91"/>
  <c r="AT11" i="91"/>
  <c r="AT6" i="91"/>
  <c r="AT10" i="91"/>
  <c r="AT15" i="91"/>
  <c r="AU1" i="91"/>
  <c r="AU4" i="91" l="1"/>
  <c r="AU11" i="91"/>
  <c r="AU9" i="91"/>
  <c r="AU13" i="91"/>
  <c r="AU6" i="91"/>
  <c r="AU14" i="91"/>
  <c r="AU10" i="91"/>
  <c r="AU12" i="91"/>
  <c r="AU8" i="91"/>
  <c r="AU15" i="91"/>
  <c r="AU7" i="91"/>
  <c r="AU5" i="91"/>
  <c r="AU3" i="91"/>
  <c r="AU2" i="91"/>
  <c r="AV1" i="91"/>
  <c r="AV5" i="91" l="1"/>
  <c r="AV14" i="91"/>
  <c r="AV11" i="91"/>
  <c r="AV7" i="91"/>
  <c r="AV15" i="91"/>
  <c r="AV10" i="91"/>
  <c r="AV6" i="91"/>
  <c r="AV13" i="91"/>
  <c r="AV8" i="91"/>
  <c r="AV9" i="91"/>
  <c r="AV12" i="91"/>
  <c r="AW1" i="91"/>
  <c r="AW5" i="91" l="1"/>
  <c r="AW12" i="91"/>
  <c r="AW15" i="91"/>
  <c r="AW8" i="91"/>
  <c r="AW14" i="91"/>
  <c r="AW10" i="91"/>
  <c r="AW13" i="91"/>
  <c r="AW11" i="91"/>
  <c r="AW9" i="91"/>
  <c r="AW6" i="91"/>
  <c r="AW7" i="91"/>
  <c r="AX1" i="91"/>
  <c r="AX4" i="91" l="1"/>
  <c r="AX12" i="91"/>
  <c r="AX15" i="91"/>
  <c r="AX11" i="91"/>
  <c r="AX10" i="91"/>
  <c r="AX14" i="91"/>
  <c r="AX13" i="91"/>
  <c r="AX9" i="91"/>
  <c r="AX8" i="91"/>
  <c r="AX6" i="91"/>
  <c r="AX7" i="91"/>
  <c r="AX5" i="91"/>
  <c r="AX3" i="91"/>
  <c r="AY1" i="91"/>
  <c r="AX2" i="91"/>
  <c r="AY5" i="91" l="1"/>
  <c r="AY12" i="91"/>
  <c r="AY10" i="91"/>
  <c r="AY15" i="91"/>
  <c r="AY7" i="91"/>
  <c r="AY13" i="91"/>
  <c r="AY11" i="91"/>
  <c r="AY8" i="91"/>
  <c r="AY6" i="91"/>
  <c r="AY9" i="91"/>
  <c r="AY14" i="91"/>
  <c r="AZ1" i="91"/>
  <c r="AZ5" i="91" l="1"/>
  <c r="AZ14" i="91"/>
  <c r="AZ12" i="91"/>
  <c r="AZ13" i="91"/>
  <c r="AZ8" i="91"/>
  <c r="AZ11" i="91"/>
  <c r="AZ10" i="91"/>
  <c r="AZ6" i="91"/>
  <c r="AZ9" i="91"/>
  <c r="AZ7" i="91"/>
  <c r="AZ15" i="91"/>
  <c r="BA1" i="91"/>
  <c r="BA4" i="91" l="1"/>
  <c r="BA14" i="91"/>
  <c r="BA15" i="91"/>
  <c r="BA13" i="91"/>
  <c r="BA11" i="91"/>
  <c r="BA7" i="91"/>
  <c r="BA12" i="91"/>
  <c r="BA6" i="91"/>
  <c r="BA8" i="91"/>
  <c r="BA9" i="91"/>
  <c r="BA10" i="91"/>
  <c r="BA5" i="91"/>
  <c r="BA3" i="91"/>
  <c r="BB1" i="91"/>
  <c r="BA2" i="91"/>
  <c r="BB5" i="91" l="1"/>
  <c r="BB13" i="91"/>
  <c r="BB8" i="91"/>
  <c r="BB15" i="91"/>
  <c r="BB7" i="91"/>
  <c r="BB9" i="91"/>
  <c r="BB6" i="91"/>
  <c r="BB10" i="91"/>
  <c r="BB14" i="91"/>
  <c r="BB11" i="91"/>
  <c r="BB12" i="91"/>
  <c r="BC1" i="91"/>
  <c r="BC5" i="91" l="1"/>
  <c r="BC7" i="91"/>
  <c r="BC10" i="91"/>
  <c r="BC15" i="91"/>
  <c r="BC8" i="91"/>
  <c r="BC6" i="91"/>
  <c r="BC9" i="91"/>
  <c r="BC12" i="91"/>
  <c r="BC13" i="91"/>
  <c r="BC14" i="91"/>
  <c r="BC11" i="91"/>
  <c r="BD1" i="91"/>
  <c r="BD4" i="91" l="1"/>
  <c r="BD12" i="91"/>
  <c r="BD8" i="91"/>
  <c r="BD15" i="91"/>
  <c r="BD11" i="91"/>
  <c r="BD9" i="91"/>
  <c r="BD7" i="91"/>
  <c r="BD13" i="91"/>
  <c r="BD10" i="91"/>
  <c r="BD14" i="91"/>
  <c r="BD6" i="91"/>
  <c r="BD5" i="91"/>
  <c r="BD3" i="91"/>
  <c r="BD2" i="91"/>
  <c r="BE1" i="91"/>
  <c r="BE5" i="91" l="1"/>
  <c r="BE15" i="91"/>
  <c r="BE10" i="91"/>
  <c r="BE8" i="91"/>
  <c r="BE12" i="91"/>
  <c r="BE14" i="91"/>
  <c r="BE9" i="91"/>
  <c r="BE13" i="91"/>
  <c r="BE11" i="91"/>
  <c r="BE7" i="91"/>
  <c r="BE6" i="91"/>
  <c r="BF1" i="91"/>
  <c r="BF5" i="91" l="1"/>
  <c r="BF12" i="91"/>
  <c r="BF14" i="91"/>
  <c r="BF11" i="91"/>
  <c r="BF10" i="91"/>
  <c r="BF6" i="91"/>
  <c r="BF7" i="91"/>
  <c r="BF9" i="91"/>
  <c r="BF8" i="91"/>
  <c r="BF15" i="91"/>
  <c r="BF13" i="91"/>
  <c r="BG1" i="91"/>
  <c r="BG4" i="91" l="1"/>
  <c r="BG13" i="91"/>
  <c r="BG15" i="91"/>
  <c r="BG14" i="91"/>
  <c r="BG12" i="91"/>
  <c r="BG9" i="91"/>
  <c r="BG10" i="91"/>
  <c r="BG8" i="91"/>
  <c r="BG11" i="91"/>
  <c r="BG6" i="91"/>
  <c r="BG7" i="91"/>
  <c r="BG5" i="91"/>
  <c r="BG3" i="91"/>
  <c r="BH1" i="91"/>
  <c r="BG2" i="91"/>
  <c r="BH5" i="91" l="1"/>
  <c r="BH13" i="91"/>
  <c r="BH15" i="91"/>
  <c r="BH12" i="91"/>
  <c r="BH9" i="91"/>
  <c r="BH8" i="91"/>
  <c r="BH6" i="91"/>
  <c r="BH10" i="91"/>
  <c r="BH11" i="91"/>
  <c r="BH7" i="91"/>
  <c r="BH14" i="91"/>
  <c r="BI1" i="91"/>
  <c r="BI5" i="91" l="1"/>
  <c r="BI13" i="91"/>
  <c r="BI12" i="91"/>
  <c r="BI14" i="91"/>
  <c r="BI11" i="91"/>
  <c r="BI8" i="91"/>
  <c r="BI15" i="91"/>
  <c r="BI6" i="91"/>
  <c r="BI10" i="91"/>
  <c r="BI7" i="91"/>
  <c r="BI9" i="91"/>
  <c r="BJ1" i="91"/>
  <c r="BJ4" i="91" l="1"/>
  <c r="BJ15" i="91"/>
  <c r="BJ13" i="91"/>
  <c r="BJ12" i="91"/>
  <c r="BJ14" i="91"/>
  <c r="BJ9" i="91"/>
  <c r="BJ11" i="91"/>
  <c r="BJ7" i="91"/>
  <c r="BJ8" i="91"/>
  <c r="BJ10" i="91"/>
  <c r="BJ6" i="91"/>
  <c r="BJ5" i="91"/>
  <c r="BJ3" i="91"/>
  <c r="BK1" i="91"/>
  <c r="BJ2" i="91"/>
  <c r="BK5" i="91" l="1"/>
  <c r="BK15" i="91"/>
  <c r="BK13" i="91"/>
  <c r="BK14" i="91"/>
  <c r="BK12" i="91"/>
  <c r="BK11" i="91"/>
  <c r="BK7" i="91"/>
  <c r="BK8" i="91"/>
  <c r="BK6" i="91"/>
  <c r="BK9" i="91"/>
  <c r="BK10" i="91"/>
  <c r="BL1" i="91"/>
  <c r="BL5" i="91" l="1"/>
  <c r="BL14" i="91"/>
  <c r="BL9" i="91"/>
  <c r="BL12" i="91"/>
  <c r="BL13" i="91"/>
  <c r="BL11" i="91"/>
  <c r="BL15" i="91"/>
  <c r="BL7" i="91"/>
  <c r="BL8" i="91"/>
  <c r="BL6" i="91"/>
  <c r="BL10" i="91"/>
  <c r="BM1" i="91"/>
  <c r="BM4" i="91" l="1"/>
  <c r="BM14" i="91"/>
  <c r="BM6" i="91"/>
  <c r="BM9" i="91"/>
  <c r="BM13" i="91"/>
  <c r="BM12" i="91"/>
  <c r="BM8" i="91"/>
  <c r="BM10" i="91"/>
  <c r="BM11" i="91"/>
  <c r="BM7" i="91"/>
  <c r="BM15" i="91"/>
  <c r="BM5" i="91"/>
  <c r="BM3" i="91"/>
  <c r="BN1" i="91"/>
  <c r="BM2" i="91"/>
  <c r="BN5" i="91" l="1"/>
  <c r="BN13" i="91"/>
  <c r="BN10" i="91"/>
  <c r="BN12" i="91"/>
  <c r="BN8" i="91"/>
  <c r="BN6" i="91"/>
  <c r="BN15" i="91"/>
  <c r="BN11" i="91"/>
  <c r="BN14" i="91"/>
  <c r="BN9" i="91"/>
  <c r="BN7" i="91"/>
  <c r="BO1" i="91"/>
  <c r="BO5" i="91" l="1"/>
  <c r="BO11" i="91"/>
  <c r="BO9" i="91"/>
  <c r="BO15" i="91"/>
  <c r="BO14" i="91"/>
  <c r="BO13" i="91"/>
  <c r="BO10" i="91"/>
  <c r="BO7" i="91"/>
  <c r="BO8" i="91"/>
  <c r="BO12" i="91"/>
  <c r="BO6" i="91"/>
  <c r="BP1" i="91"/>
  <c r="BP4" i="91" l="1"/>
  <c r="BP9" i="91"/>
  <c r="BP7" i="91"/>
  <c r="BP6" i="91"/>
  <c r="BP11" i="91"/>
  <c r="BP14" i="91"/>
  <c r="BP15" i="91"/>
  <c r="BP12" i="91"/>
  <c r="BP13" i="91"/>
  <c r="BP8" i="91"/>
  <c r="BP10" i="91"/>
  <c r="BP5" i="91"/>
  <c r="BP3" i="91"/>
  <c r="BQ1" i="91"/>
  <c r="BP2" i="91"/>
  <c r="BQ5" i="91" l="1"/>
  <c r="BQ11" i="91"/>
  <c r="BQ14" i="91"/>
  <c r="BQ12" i="91"/>
  <c r="BQ7" i="91"/>
  <c r="BQ8" i="91"/>
  <c r="BQ6" i="91"/>
  <c r="BQ15" i="91"/>
  <c r="BQ9" i="91"/>
  <c r="BQ13" i="91"/>
  <c r="BQ10" i="91"/>
  <c r="BR1" i="91"/>
  <c r="BR5" i="91" l="1"/>
  <c r="BR12" i="91"/>
  <c r="BR13" i="91"/>
  <c r="BR8" i="91"/>
  <c r="BR11" i="91"/>
  <c r="BR6" i="91"/>
  <c r="BR15" i="91"/>
  <c r="BR10" i="91"/>
  <c r="BR14" i="91"/>
  <c r="BR7" i="91"/>
  <c r="BR9" i="91"/>
  <c r="BS1" i="91"/>
  <c r="BS4" i="91" l="1"/>
  <c r="BS14" i="91"/>
  <c r="BS10" i="91"/>
  <c r="BS8" i="91"/>
  <c r="BS15" i="91"/>
  <c r="BS12" i="91"/>
  <c r="BS11" i="91"/>
  <c r="BS6" i="91"/>
  <c r="BS7" i="91"/>
  <c r="BS9" i="91"/>
  <c r="BS13" i="91"/>
  <c r="BS5" i="91"/>
  <c r="BS3" i="91"/>
  <c r="BT1" i="91"/>
  <c r="BS2" i="91"/>
  <c r="BT5" i="91" l="1"/>
  <c r="BT14" i="91"/>
  <c r="BT12" i="91"/>
  <c r="BT15" i="91"/>
  <c r="BT13" i="91"/>
  <c r="BT11" i="91"/>
  <c r="BT7" i="91"/>
  <c r="BT6" i="91"/>
  <c r="BT8" i="91"/>
  <c r="BT10" i="91"/>
  <c r="BT9" i="91"/>
  <c r="BU1" i="91"/>
  <c r="BU5" i="91" l="1"/>
  <c r="BU14" i="91"/>
  <c r="BU12" i="91"/>
  <c r="BU7" i="91"/>
  <c r="BU11" i="91"/>
  <c r="BU10" i="91"/>
  <c r="BU6" i="91"/>
  <c r="BU15" i="91"/>
  <c r="BU9" i="91"/>
  <c r="BU8" i="91"/>
  <c r="BU13" i="91"/>
  <c r="BV1" i="91"/>
  <c r="BV4" i="91" l="1"/>
  <c r="BV11" i="91"/>
  <c r="BV13" i="91"/>
  <c r="BV12" i="91"/>
  <c r="BV15" i="91"/>
  <c r="BV14" i="91"/>
  <c r="BV7" i="91"/>
  <c r="BV6" i="91"/>
  <c r="BV10" i="91"/>
  <c r="BV9" i="91"/>
  <c r="BV8" i="91"/>
  <c r="BV5" i="91"/>
  <c r="BV3" i="91"/>
  <c r="BW1" i="91"/>
  <c r="BV2" i="91"/>
  <c r="BW5" i="91" l="1"/>
  <c r="BW15" i="91"/>
  <c r="BW13" i="91"/>
  <c r="BW7" i="91"/>
  <c r="BW8" i="91"/>
  <c r="BW10" i="91"/>
  <c r="BW6" i="91"/>
  <c r="BW14" i="91"/>
  <c r="BW9" i="91"/>
  <c r="BW12" i="91"/>
  <c r="BW11" i="91"/>
  <c r="BX1" i="91"/>
  <c r="BX5" i="91" l="1"/>
  <c r="BX13" i="91"/>
  <c r="BX10" i="91"/>
  <c r="BX7" i="91"/>
  <c r="BX14" i="91"/>
  <c r="BX15" i="91"/>
  <c r="BX11" i="91"/>
  <c r="BX6" i="91"/>
  <c r="BX8" i="91"/>
  <c r="BX9" i="91"/>
  <c r="BX12" i="91"/>
  <c r="BY1" i="91"/>
  <c r="BY4" i="91" l="1"/>
  <c r="BY10" i="91"/>
  <c r="BY8" i="91"/>
  <c r="BY15" i="91"/>
  <c r="BY6" i="91"/>
  <c r="BY13" i="91"/>
  <c r="BY7" i="91"/>
  <c r="BY14" i="91"/>
  <c r="BY9" i="91"/>
  <c r="BY11" i="91"/>
  <c r="BY12" i="91"/>
  <c r="BY5" i="91"/>
  <c r="BY3" i="91"/>
  <c r="BZ1" i="91"/>
  <c r="BY2" i="91"/>
  <c r="BZ5" i="91" l="1"/>
  <c r="BZ8" i="91"/>
  <c r="BZ15" i="91"/>
  <c r="BZ6" i="91"/>
  <c r="BZ12" i="91"/>
  <c r="BZ7" i="91"/>
  <c r="BZ9" i="91"/>
  <c r="BZ14" i="91"/>
  <c r="BZ11" i="91"/>
  <c r="BZ13" i="91"/>
  <c r="BZ10" i="91"/>
  <c r="CA1" i="91"/>
  <c r="CA5" i="91" l="1"/>
  <c r="CA13" i="91"/>
  <c r="CA10" i="91"/>
  <c r="CA11" i="91"/>
  <c r="CA12" i="91"/>
  <c r="CA8" i="91"/>
  <c r="CA15" i="91"/>
  <c r="CA9" i="91"/>
  <c r="CA14" i="91"/>
  <c r="CA7" i="91"/>
  <c r="CA6" i="91"/>
  <c r="CB1" i="91"/>
  <c r="CB4" i="91" l="1"/>
  <c r="CB15" i="91"/>
  <c r="CB12" i="91"/>
  <c r="CB13" i="91"/>
  <c r="CB9" i="91"/>
  <c r="CB14" i="91"/>
  <c r="CB7" i="91"/>
  <c r="CB10" i="91"/>
  <c r="CB8" i="91"/>
  <c r="CB6" i="91"/>
  <c r="CB11" i="91"/>
  <c r="CB5" i="91"/>
  <c r="CB3" i="91"/>
  <c r="CC1" i="91"/>
  <c r="CB2" i="91"/>
  <c r="CC5" i="91" l="1"/>
  <c r="CC12" i="91"/>
  <c r="CC11" i="91"/>
  <c r="CC9" i="91"/>
  <c r="CC8" i="91"/>
  <c r="CC14" i="91"/>
  <c r="CC10" i="91"/>
  <c r="CC13" i="91"/>
  <c r="CC15" i="91"/>
  <c r="CC7" i="91"/>
  <c r="CC6" i="91"/>
  <c r="CD1" i="91"/>
  <c r="CD5" i="91" l="1"/>
  <c r="CD15" i="91"/>
  <c r="CD13" i="91"/>
  <c r="CD10" i="91"/>
  <c r="CD6" i="91"/>
  <c r="CD8" i="91"/>
  <c r="CD9" i="91"/>
  <c r="CD7" i="91"/>
  <c r="CD12" i="91"/>
  <c r="CD14" i="91"/>
  <c r="CD11" i="91"/>
  <c r="CE1" i="91"/>
  <c r="CE4" i="91" l="1"/>
  <c r="CE15" i="91"/>
  <c r="CE13" i="91"/>
  <c r="CE14" i="91"/>
  <c r="CE10" i="91"/>
  <c r="CE11" i="91"/>
  <c r="CE7" i="91"/>
  <c r="CE6" i="91"/>
  <c r="CE9" i="91"/>
  <c r="CE8" i="91"/>
  <c r="CE12" i="91"/>
  <c r="CE5" i="91"/>
  <c r="CE3" i="91"/>
  <c r="CE2" i="91"/>
  <c r="CF1" i="91"/>
  <c r="CF5" i="91" l="1"/>
  <c r="CF15" i="91"/>
  <c r="CF12" i="91"/>
  <c r="CF14" i="91"/>
  <c r="CF11" i="91"/>
  <c r="CF7" i="91"/>
  <c r="CF6" i="91"/>
  <c r="CF10" i="91"/>
  <c r="CF13" i="91"/>
  <c r="CF8" i="91"/>
  <c r="CF9" i="91"/>
  <c r="CG1" i="91"/>
  <c r="CG5" i="91" l="1"/>
  <c r="CG13" i="91"/>
  <c r="CG6" i="91"/>
  <c r="CG14" i="91"/>
  <c r="CG11" i="91"/>
  <c r="CG7" i="91"/>
  <c r="CG8" i="91"/>
  <c r="CG15" i="91"/>
  <c r="CG12" i="91"/>
  <c r="CG10" i="91"/>
  <c r="CG9" i="91"/>
  <c r="CH1" i="91"/>
  <c r="CH4" i="91" l="1"/>
  <c r="CH14" i="91"/>
  <c r="CH12" i="91"/>
  <c r="CH15" i="91"/>
  <c r="CH9" i="91"/>
  <c r="CH13" i="91"/>
  <c r="CH6" i="91"/>
  <c r="CH10" i="91"/>
  <c r="CH7" i="91"/>
  <c r="CH8" i="91"/>
  <c r="CH11" i="91"/>
  <c r="CH5" i="91"/>
  <c r="CH3" i="91"/>
  <c r="CI1" i="91"/>
  <c r="CH2" i="91"/>
  <c r="CI5" i="91" l="1"/>
  <c r="CI14" i="91"/>
  <c r="CI11" i="91"/>
  <c r="CI9" i="91"/>
  <c r="CI13" i="91"/>
  <c r="CI15" i="91"/>
  <c r="CI12" i="91"/>
  <c r="CI6" i="91"/>
  <c r="CI10" i="91"/>
  <c r="CI7" i="91"/>
  <c r="CI8" i="91"/>
  <c r="CJ1" i="91"/>
  <c r="CJ5" i="91" l="1"/>
  <c r="CJ14" i="91"/>
  <c r="CJ7" i="91"/>
  <c r="CJ9" i="91"/>
  <c r="CJ15" i="91"/>
  <c r="CJ13" i="91"/>
  <c r="CJ8" i="91"/>
  <c r="CJ12" i="91"/>
  <c r="CJ10" i="91"/>
  <c r="CJ6" i="91"/>
  <c r="CJ11" i="91"/>
  <c r="CK1" i="91"/>
  <c r="CK4" i="91" l="1"/>
  <c r="CK15" i="91"/>
  <c r="CK12" i="91"/>
  <c r="CK9" i="91"/>
  <c r="CK11" i="91"/>
  <c r="CK10" i="91"/>
  <c r="CK8" i="91"/>
  <c r="CK6" i="91"/>
  <c r="CK14" i="91"/>
  <c r="CK7" i="91"/>
  <c r="CK13" i="91"/>
  <c r="CK5" i="91"/>
  <c r="CK3" i="91"/>
  <c r="CL1" i="91"/>
  <c r="CK2" i="91"/>
  <c r="CL5" i="91" l="1"/>
  <c r="CL14" i="91"/>
  <c r="CL11" i="91"/>
  <c r="CL10" i="91"/>
  <c r="CL15" i="91"/>
  <c r="CL9" i="91"/>
  <c r="CL8" i="91"/>
  <c r="CL12" i="91"/>
  <c r="CL6" i="91"/>
  <c r="CL13" i="91"/>
  <c r="CL7" i="91"/>
  <c r="CM1" i="91"/>
  <c r="CM5" i="91" l="1"/>
  <c r="CM12" i="91"/>
  <c r="CM8" i="91"/>
  <c r="CM9" i="91"/>
  <c r="CM15" i="91"/>
  <c r="CM11" i="91"/>
  <c r="CM10" i="91"/>
  <c r="CM6" i="91"/>
  <c r="CM7" i="91"/>
  <c r="CM13" i="91"/>
  <c r="CM14" i="91"/>
  <c r="CN1" i="91"/>
  <c r="CN4" i="91" l="1"/>
  <c r="CN14" i="91"/>
  <c r="CN12" i="91"/>
  <c r="CN15" i="91"/>
  <c r="CN10" i="91"/>
  <c r="CN7" i="91"/>
  <c r="CN6" i="91"/>
  <c r="CN9" i="91"/>
  <c r="CN8" i="91"/>
  <c r="CN13" i="91"/>
  <c r="CN11" i="91"/>
  <c r="CN5" i="91"/>
  <c r="CN3" i="91"/>
  <c r="CO1" i="91"/>
  <c r="CN2" i="91"/>
  <c r="CO5" i="91" l="1"/>
  <c r="CO14" i="91"/>
  <c r="CO7" i="91"/>
  <c r="CO13" i="91"/>
  <c r="CO15" i="91"/>
  <c r="CO9" i="91"/>
  <c r="CO12" i="91"/>
  <c r="CO8" i="91"/>
  <c r="CO10" i="91"/>
  <c r="CO11" i="91"/>
  <c r="CO6" i="91"/>
  <c r="CP1" i="91"/>
  <c r="CP5" i="91" l="1"/>
  <c r="CP14" i="91"/>
  <c r="CP13" i="91"/>
  <c r="CP15" i="91"/>
  <c r="CP8" i="91"/>
  <c r="CP6" i="91"/>
  <c r="CP12" i="91"/>
  <c r="CP10" i="91"/>
  <c r="CP11" i="91"/>
  <c r="CP7" i="91"/>
  <c r="CP9" i="91"/>
  <c r="CQ1" i="91"/>
  <c r="CQ4" i="91" l="1"/>
  <c r="CQ15" i="91"/>
  <c r="CQ12" i="91"/>
  <c r="CQ11" i="91"/>
  <c r="CQ7" i="91"/>
  <c r="CQ8" i="91"/>
  <c r="CQ13" i="91"/>
  <c r="CQ10" i="91"/>
  <c r="CQ9" i="91"/>
  <c r="CQ6" i="91"/>
  <c r="CQ14" i="91"/>
  <c r="CQ5" i="91"/>
  <c r="CQ3" i="91"/>
  <c r="CR1" i="91"/>
  <c r="CQ2" i="91"/>
  <c r="CR5" i="91" l="1"/>
  <c r="CR14" i="91"/>
  <c r="CR8" i="91"/>
  <c r="CR11" i="91"/>
  <c r="CR12" i="91"/>
  <c r="CR6" i="91"/>
  <c r="CR13" i="91"/>
  <c r="CR10" i="91"/>
  <c r="CR9" i="91"/>
  <c r="CR15" i="91"/>
  <c r="CR7" i="91"/>
  <c r="CS1" i="91"/>
  <c r="CS5" i="91" l="1"/>
  <c r="CS15" i="91"/>
  <c r="CS13" i="91"/>
  <c r="CS10" i="91"/>
  <c r="CS8" i="91"/>
  <c r="CS14" i="91"/>
  <c r="CS11" i="91"/>
  <c r="CS6" i="91"/>
  <c r="CS12" i="91"/>
  <c r="CS9" i="91"/>
  <c r="CS7" i="91"/>
  <c r="CT1" i="91"/>
  <c r="CT4" i="91" l="1"/>
  <c r="CT10" i="91"/>
  <c r="CT13" i="91"/>
  <c r="CT6" i="91"/>
  <c r="CT12" i="91"/>
  <c r="CT14" i="91"/>
  <c r="CT8" i="91"/>
  <c r="CT9" i="91"/>
  <c r="CT15" i="91"/>
  <c r="CT7" i="91"/>
  <c r="CT11" i="91"/>
  <c r="CT5" i="91"/>
  <c r="CT3" i="91"/>
  <c r="CU1" i="91"/>
  <c r="CT2" i="91"/>
  <c r="CU5" i="91" l="1"/>
  <c r="CU13" i="91"/>
  <c r="CU14" i="91"/>
  <c r="CU8" i="91"/>
  <c r="CU11" i="91"/>
  <c r="CU10" i="91"/>
  <c r="CU7" i="91"/>
  <c r="CU15" i="91"/>
  <c r="CU12" i="91"/>
  <c r="CU6" i="91"/>
  <c r="CU9" i="91"/>
  <c r="CV1" i="91"/>
  <c r="CV5" i="91" l="1"/>
  <c r="CV11" i="91"/>
  <c r="CV10" i="91"/>
  <c r="CV6" i="91"/>
  <c r="CV13" i="91"/>
  <c r="CV14" i="91"/>
  <c r="CV8" i="91"/>
  <c r="CV15" i="91"/>
  <c r="CV7" i="91"/>
  <c r="CV12" i="91"/>
  <c r="CV9" i="91"/>
  <c r="CW1" i="91"/>
  <c r="CW4" i="91" l="1"/>
  <c r="CW13" i="91"/>
  <c r="CW11" i="91"/>
  <c r="CW7" i="91"/>
  <c r="CW14" i="91"/>
  <c r="CW8" i="91"/>
  <c r="CW10" i="91"/>
  <c r="CW6" i="91"/>
  <c r="CW15" i="91"/>
  <c r="CW12" i="91"/>
  <c r="CW9" i="91"/>
  <c r="CW5" i="91"/>
  <c r="CW3" i="91"/>
  <c r="CX1" i="91"/>
  <c r="CW2" i="91"/>
  <c r="CX5" i="91" l="1"/>
  <c r="CX15" i="91"/>
  <c r="CX13" i="91"/>
  <c r="CX12" i="91"/>
  <c r="CX9" i="91"/>
  <c r="CX10" i="91"/>
  <c r="CX11" i="91"/>
  <c r="CX7" i="91"/>
  <c r="CX14" i="91"/>
  <c r="CX8" i="91"/>
  <c r="CX6" i="91"/>
  <c r="CY1" i="91"/>
  <c r="CY5" i="91" l="1"/>
  <c r="CY15" i="91"/>
  <c r="CY13" i="91"/>
  <c r="CY11" i="91"/>
  <c r="CY8" i="91"/>
  <c r="CY12" i="91"/>
  <c r="CY7" i="91"/>
  <c r="CY9" i="91"/>
  <c r="CY14" i="91"/>
  <c r="CY10" i="91"/>
  <c r="CY6" i="91"/>
  <c r="CZ1" i="91"/>
  <c r="CZ4" i="91" l="1"/>
  <c r="CZ11" i="91"/>
  <c r="CZ12" i="91"/>
  <c r="CZ13" i="91"/>
  <c r="CZ9" i="91"/>
  <c r="CZ10" i="91"/>
  <c r="CZ6" i="91"/>
  <c r="CZ15" i="91"/>
  <c r="CZ14" i="91"/>
  <c r="CZ7" i="91"/>
  <c r="CZ8" i="91"/>
  <c r="CZ5" i="91"/>
  <c r="CZ3" i="91"/>
  <c r="DA1" i="91"/>
  <c r="CZ2" i="91"/>
  <c r="DA5" i="91" l="1"/>
  <c r="DA15" i="91"/>
  <c r="DA12" i="91"/>
  <c r="DA13" i="91"/>
  <c r="DA11" i="91"/>
  <c r="DA6" i="91"/>
  <c r="DA8" i="91"/>
  <c r="DA9" i="91"/>
  <c r="DA7" i="91"/>
  <c r="DA14" i="91"/>
  <c r="DA10" i="91"/>
  <c r="DB1" i="91"/>
  <c r="DB5" i="91" l="1"/>
  <c r="DB13" i="91"/>
  <c r="DB12" i="91"/>
  <c r="DB14" i="91"/>
  <c r="DB9" i="91"/>
  <c r="DB6" i="91"/>
  <c r="DB10" i="91"/>
  <c r="DB8" i="91"/>
  <c r="DB7" i="91"/>
  <c r="DB11" i="91"/>
  <c r="DB15" i="91"/>
  <c r="DC1" i="91"/>
  <c r="DC4" i="91" l="1"/>
  <c r="DC11" i="91"/>
  <c r="DC9" i="91"/>
  <c r="DC12" i="91"/>
  <c r="DC15" i="91"/>
  <c r="DC13" i="91"/>
  <c r="DC14" i="91"/>
  <c r="DC6" i="91"/>
  <c r="DC10" i="91"/>
  <c r="DC7" i="91"/>
  <c r="DC8" i="91"/>
  <c r="DC5" i="91"/>
  <c r="DC3" i="91"/>
  <c r="DD1" i="91"/>
  <c r="DC2" i="91"/>
  <c r="DD5" i="91" l="1"/>
  <c r="DD13" i="91"/>
  <c r="DD14" i="91"/>
  <c r="DD9" i="91"/>
  <c r="DD15" i="91"/>
  <c r="DD7" i="91"/>
  <c r="DD12" i="91"/>
  <c r="DD6" i="91"/>
  <c r="DD10" i="91"/>
  <c r="DD8" i="91"/>
  <c r="DD11" i="91"/>
  <c r="DE1" i="91"/>
  <c r="DE5" i="91" l="1"/>
  <c r="DE14" i="91"/>
  <c r="DE12" i="91"/>
  <c r="DE13" i="91"/>
  <c r="DE10" i="91"/>
  <c r="DE11" i="91"/>
  <c r="DE7" i="91"/>
  <c r="DE9" i="91"/>
  <c r="DE8" i="91"/>
  <c r="DE15" i="91"/>
  <c r="DE6" i="91"/>
  <c r="DF1" i="91"/>
  <c r="DF4" i="91" l="1"/>
  <c r="DF14" i="91"/>
  <c r="DF12" i="91"/>
  <c r="DF9" i="91"/>
  <c r="DF10" i="91"/>
  <c r="DF7" i="91"/>
  <c r="DF11" i="91"/>
  <c r="DF13" i="91"/>
  <c r="DF8" i="91"/>
  <c r="DF15" i="91"/>
  <c r="DF6" i="91"/>
  <c r="DF5" i="91"/>
  <c r="DF3" i="91"/>
  <c r="DF2" i="91"/>
  <c r="DG1" i="91"/>
  <c r="DG5" i="91" l="1"/>
  <c r="DG15" i="91"/>
  <c r="DG12" i="91"/>
  <c r="DG14" i="91"/>
  <c r="DG10" i="91"/>
  <c r="DG7" i="91"/>
  <c r="DG11" i="91"/>
  <c r="DG13" i="91"/>
  <c r="DG9" i="91"/>
  <c r="DG8" i="91"/>
  <c r="DG6" i="91"/>
  <c r="DH1" i="91"/>
  <c r="DH5" i="91" l="1"/>
  <c r="DH14" i="91"/>
  <c r="DH12" i="91"/>
  <c r="DH13" i="91"/>
  <c r="DH15" i="91"/>
  <c r="DH11" i="91"/>
  <c r="DH8" i="91"/>
  <c r="DH7" i="91"/>
  <c r="DH9" i="91"/>
  <c r="DH6" i="91"/>
  <c r="DH10" i="91"/>
  <c r="DI1" i="91"/>
  <c r="DI4" i="91" l="1"/>
  <c r="DI14" i="91"/>
  <c r="DI12" i="91"/>
  <c r="DI7" i="91"/>
  <c r="DI10" i="91"/>
  <c r="DI9" i="91"/>
  <c r="DI6" i="91"/>
  <c r="DI11" i="91"/>
  <c r="DI15" i="91"/>
  <c r="DI8" i="91"/>
  <c r="DI13" i="91"/>
  <c r="DI5" i="91"/>
  <c r="DI3" i="91"/>
  <c r="DJ1" i="91"/>
  <c r="DI2" i="91"/>
  <c r="DJ5" i="91" l="1"/>
  <c r="DJ15" i="91"/>
  <c r="DJ13" i="91"/>
  <c r="DJ6" i="91"/>
  <c r="DJ7" i="91"/>
  <c r="DJ12" i="91"/>
  <c r="DJ8" i="91"/>
  <c r="DJ11" i="91"/>
  <c r="DJ10" i="91"/>
  <c r="DJ9" i="91"/>
  <c r="DJ14" i="91"/>
  <c r="DK1" i="91"/>
  <c r="DK5" i="91" l="1"/>
  <c r="DK7" i="91"/>
  <c r="DK12" i="91"/>
  <c r="DK9" i="91"/>
  <c r="DK10" i="91"/>
  <c r="DK15" i="91"/>
  <c r="DK6" i="91"/>
  <c r="DK11" i="91"/>
  <c r="DK14" i="91"/>
  <c r="DK8" i="91"/>
  <c r="DK13" i="91"/>
  <c r="DL1" i="91"/>
  <c r="DL4" i="91" l="1"/>
  <c r="DL15" i="91"/>
  <c r="DL14" i="91"/>
  <c r="DL13" i="91"/>
  <c r="DL10" i="91"/>
  <c r="DL7" i="91"/>
  <c r="DL12" i="91"/>
  <c r="DL11" i="91"/>
  <c r="DL6" i="91"/>
  <c r="DL8" i="91"/>
  <c r="DL9" i="91"/>
  <c r="DL5" i="91"/>
  <c r="DL3" i="91"/>
  <c r="DM1" i="91"/>
  <c r="DL2" i="91"/>
  <c r="DM5" i="91" l="1"/>
  <c r="DM10" i="91"/>
  <c r="DM8" i="91"/>
  <c r="DM12" i="91"/>
  <c r="DM15" i="91"/>
  <c r="DM14" i="91"/>
  <c r="DM11" i="91"/>
  <c r="DM7" i="91"/>
  <c r="DM6" i="91"/>
  <c r="DM13" i="91"/>
  <c r="DM9" i="91"/>
  <c r="DN1" i="91"/>
  <c r="DN5" i="91" l="1"/>
  <c r="DN15" i="91"/>
  <c r="DN12" i="91"/>
  <c r="DN8" i="91"/>
  <c r="DN14" i="91"/>
  <c r="DN6" i="91"/>
  <c r="DN7" i="91"/>
  <c r="DN13" i="91"/>
  <c r="DN9" i="91"/>
  <c r="DN10" i="91"/>
  <c r="DN11" i="91"/>
  <c r="DO1" i="91"/>
  <c r="DO4" i="91" l="1"/>
  <c r="DO15" i="91"/>
  <c r="DO13" i="91"/>
  <c r="DO14" i="91"/>
  <c r="DO10" i="91"/>
  <c r="DO11" i="91"/>
  <c r="DO9" i="91"/>
  <c r="DO8" i="91"/>
  <c r="DO7" i="91"/>
  <c r="DO6" i="91"/>
  <c r="DO12" i="91"/>
  <c r="DO5" i="91"/>
  <c r="DO3" i="91"/>
  <c r="DO2" i="91"/>
  <c r="DP1" i="91"/>
  <c r="DP5" i="91" l="1"/>
  <c r="DP11" i="91"/>
  <c r="DP8" i="91"/>
  <c r="DP6" i="91"/>
  <c r="DP15" i="91"/>
  <c r="DP9" i="91"/>
  <c r="DP13" i="91"/>
  <c r="DP12" i="91"/>
  <c r="DP14" i="91"/>
  <c r="DP7" i="91"/>
  <c r="DP10" i="91"/>
  <c r="DQ1" i="91"/>
  <c r="DQ5" i="91" l="1"/>
  <c r="DQ10" i="91"/>
  <c r="DQ13" i="91"/>
  <c r="DQ11" i="91"/>
  <c r="DQ15" i="91"/>
  <c r="DQ8" i="91"/>
  <c r="DQ9" i="91"/>
  <c r="DQ12" i="91"/>
  <c r="DQ14" i="91"/>
  <c r="DQ6" i="91"/>
  <c r="DQ7" i="91"/>
  <c r="DR1" i="91"/>
  <c r="DR4" i="91" l="1"/>
  <c r="DR15" i="91"/>
  <c r="DR13" i="91"/>
  <c r="DR14" i="91"/>
  <c r="DR11" i="91"/>
  <c r="DR6" i="91"/>
  <c r="DR7" i="91"/>
  <c r="DR8" i="91"/>
  <c r="DR12" i="91"/>
  <c r="DR9" i="91"/>
  <c r="DR10" i="91"/>
  <c r="DR5" i="91"/>
  <c r="DR3" i="91"/>
  <c r="DS1" i="91"/>
  <c r="DR2" i="91"/>
  <c r="DS5" i="91" l="1"/>
  <c r="DS15" i="91"/>
  <c r="DS13" i="91"/>
  <c r="DS9" i="91"/>
  <c r="DS14" i="91"/>
  <c r="DS11" i="91"/>
  <c r="DS6" i="91"/>
  <c r="DS8" i="91"/>
  <c r="DS10" i="91"/>
  <c r="DS12" i="91"/>
  <c r="DS7" i="91"/>
  <c r="DT1" i="91"/>
  <c r="DT5" i="91" l="1"/>
  <c r="DT12" i="91"/>
  <c r="DT13" i="91"/>
  <c r="DT14" i="91"/>
  <c r="DT7" i="91"/>
  <c r="DT10" i="91"/>
  <c r="DT11" i="91"/>
  <c r="DT8" i="91"/>
  <c r="DT9" i="91"/>
  <c r="DT15" i="91"/>
  <c r="DT6" i="91"/>
  <c r="DU1" i="91"/>
  <c r="DU4" i="91" l="1"/>
  <c r="DU6" i="91"/>
  <c r="DU11" i="91"/>
  <c r="DU13" i="91"/>
  <c r="DU15" i="91"/>
  <c r="DU14" i="91"/>
  <c r="DU9" i="91"/>
  <c r="DU10" i="91"/>
  <c r="DU8" i="91"/>
  <c r="DU7" i="91"/>
  <c r="DU12" i="91"/>
  <c r="DU5" i="91"/>
  <c r="DU3" i="91"/>
  <c r="DV1" i="91"/>
  <c r="DU2" i="91"/>
  <c r="DV5" i="91" l="1"/>
  <c r="DV14" i="91"/>
  <c r="DV10" i="91"/>
  <c r="DV6" i="91"/>
  <c r="DV11" i="91"/>
  <c r="DV15" i="91"/>
  <c r="DV13" i="91"/>
  <c r="DV7" i="91"/>
  <c r="DV9" i="91"/>
  <c r="DV12" i="91"/>
  <c r="DV8" i="91"/>
  <c r="DW1" i="91"/>
  <c r="DW5" i="91" l="1"/>
  <c r="DW11" i="91"/>
  <c r="DW9" i="91"/>
  <c r="DW14" i="91"/>
  <c r="DW8" i="91"/>
  <c r="DW13" i="91"/>
  <c r="DW10" i="91"/>
  <c r="DW15" i="91"/>
  <c r="DW7" i="91"/>
  <c r="DW12" i="91"/>
  <c r="DW6" i="91"/>
  <c r="DX1" i="91"/>
  <c r="DX4" i="91" l="1"/>
  <c r="DX15" i="91"/>
  <c r="DX11" i="91"/>
  <c r="DX13" i="91"/>
  <c r="DX7" i="91"/>
  <c r="DX12" i="91"/>
  <c r="DX8" i="91"/>
  <c r="DX14" i="91"/>
  <c r="DX10" i="91"/>
  <c r="DX9" i="91"/>
  <c r="DX6" i="91"/>
  <c r="DX5" i="91"/>
  <c r="DX3" i="91"/>
  <c r="DX2" i="91"/>
  <c r="DY1" i="91"/>
  <c r="DY5" i="91" l="1"/>
  <c r="DY12" i="91"/>
  <c r="DY9" i="91"/>
  <c r="DY8" i="91"/>
  <c r="DY15" i="91"/>
  <c r="DY11" i="91"/>
  <c r="DY13" i="91"/>
  <c r="DY10" i="91"/>
  <c r="DY14" i="91"/>
  <c r="DY7" i="91"/>
  <c r="DY6" i="91"/>
  <c r="DZ1" i="91"/>
  <c r="DZ5" i="91" l="1"/>
  <c r="DZ11" i="91"/>
  <c r="DZ13" i="91"/>
  <c r="DZ12" i="91"/>
  <c r="DZ9" i="91"/>
  <c r="DZ8" i="91"/>
  <c r="DZ14" i="91"/>
  <c r="DZ15" i="91"/>
  <c r="DZ10" i="91"/>
  <c r="DZ6" i="91"/>
  <c r="DZ7" i="91"/>
  <c r="EA1" i="91"/>
  <c r="EA4" i="91" l="1"/>
  <c r="EA14" i="91"/>
  <c r="EA13" i="91"/>
  <c r="EA9" i="91"/>
  <c r="EA15" i="91"/>
  <c r="EA12" i="91"/>
  <c r="EA8" i="91"/>
  <c r="EA10" i="91"/>
  <c r="EA7" i="91"/>
  <c r="EA11" i="91"/>
  <c r="EA6" i="91"/>
  <c r="EA5" i="91"/>
  <c r="EA3" i="91"/>
  <c r="EB1" i="91"/>
  <c r="EA2" i="91"/>
  <c r="EB5" i="91" l="1"/>
  <c r="EB14" i="91"/>
  <c r="EB12" i="91"/>
  <c r="EB13" i="91"/>
  <c r="EB9" i="91"/>
  <c r="EB10" i="91"/>
  <c r="EB7" i="91"/>
  <c r="EB6" i="91"/>
  <c r="EB11" i="91"/>
  <c r="EB15" i="91"/>
  <c r="EB8" i="91"/>
  <c r="EC1" i="91"/>
  <c r="EC5" i="91" l="1"/>
  <c r="EC14" i="91"/>
  <c r="EC7" i="91"/>
  <c r="EC8" i="91"/>
  <c r="EC12" i="91"/>
  <c r="EC11" i="91"/>
  <c r="EC10" i="91"/>
  <c r="EC15" i="91"/>
  <c r="EC9" i="91"/>
  <c r="EC6" i="91"/>
  <c r="EC13" i="91"/>
  <c r="ED1" i="91"/>
  <c r="ED4" i="91" l="1"/>
  <c r="ED12" i="91"/>
  <c r="ED11" i="91"/>
  <c r="ED13" i="91"/>
  <c r="ED10" i="91"/>
  <c r="ED15" i="91"/>
  <c r="ED14" i="91"/>
  <c r="ED7" i="91"/>
  <c r="ED9" i="91"/>
  <c r="ED8" i="91"/>
  <c r="ED6" i="91"/>
  <c r="ED5" i="91"/>
  <c r="ED3" i="91"/>
  <c r="EE1" i="91"/>
  <c r="ED2" i="91"/>
  <c r="EE5" i="91" l="1"/>
  <c r="EE14" i="91"/>
  <c r="EE7" i="91"/>
  <c r="EE15" i="91"/>
  <c r="EE12" i="91"/>
  <c r="EE6" i="91"/>
  <c r="EE13" i="91"/>
  <c r="EE10" i="91"/>
  <c r="EE9" i="91"/>
  <c r="EE8" i="91"/>
  <c r="EE11" i="91"/>
  <c r="EF1" i="91"/>
  <c r="EF5" i="91" l="1"/>
  <c r="EF12" i="91"/>
  <c r="EF11" i="91"/>
  <c r="EF6" i="91"/>
  <c r="EF15" i="91"/>
  <c r="EF13" i="91"/>
  <c r="EF10" i="91"/>
  <c r="EF9" i="91"/>
  <c r="EF8" i="91"/>
  <c r="EF7" i="91"/>
  <c r="EF14" i="91"/>
  <c r="EG1" i="91"/>
  <c r="EG4" i="91" l="1"/>
  <c r="EG10" i="91"/>
  <c r="EG8" i="91"/>
  <c r="EG13" i="91"/>
  <c r="EG15" i="91"/>
  <c r="EG14" i="91"/>
  <c r="EG9" i="91"/>
  <c r="EG6" i="91"/>
  <c r="EG7" i="91"/>
  <c r="EG11" i="91"/>
  <c r="EG12" i="91"/>
  <c r="EG5" i="91"/>
  <c r="EG3" i="91"/>
  <c r="EG2" i="91"/>
  <c r="EH1" i="91"/>
  <c r="EH5" i="91" l="1"/>
  <c r="EH6" i="91"/>
  <c r="EH15" i="91"/>
  <c r="EH12" i="91"/>
  <c r="EH9" i="91"/>
  <c r="EH10" i="91"/>
  <c r="EH8" i="91"/>
  <c r="EH14" i="91"/>
  <c r="EH7" i="91"/>
  <c r="EH13" i="91"/>
  <c r="EH11" i="91"/>
  <c r="EI1" i="91"/>
  <c r="EI5" i="91" l="1"/>
  <c r="EI12" i="91"/>
  <c r="EI11" i="91"/>
  <c r="EI8" i="91"/>
  <c r="EI15" i="91"/>
  <c r="EI9" i="91"/>
  <c r="EI13" i="91"/>
  <c r="EI7" i="91"/>
  <c r="EI10" i="91"/>
  <c r="EI14" i="91"/>
  <c r="EI6" i="91"/>
  <c r="EJ1" i="91"/>
  <c r="EJ4" i="91" l="1"/>
  <c r="EJ11" i="91"/>
  <c r="EJ10" i="91"/>
  <c r="EJ12" i="91"/>
  <c r="EJ7" i="91"/>
  <c r="EJ13" i="91"/>
  <c r="EJ15" i="91"/>
  <c r="EJ9" i="91"/>
  <c r="EJ14" i="91"/>
  <c r="EJ6" i="91"/>
  <c r="EJ8" i="91"/>
  <c r="EJ5" i="91"/>
  <c r="EJ3" i="91"/>
  <c r="EK1" i="91"/>
  <c r="EJ2" i="91"/>
  <c r="EK5" i="91" l="1"/>
  <c r="EK15" i="91"/>
  <c r="EK13" i="91"/>
  <c r="EK8" i="91"/>
  <c r="EK10" i="91"/>
  <c r="EK14" i="91"/>
  <c r="EK7" i="91"/>
  <c r="EK11" i="91"/>
  <c r="EK9" i="91"/>
  <c r="EK6" i="91"/>
  <c r="EK12" i="91"/>
  <c r="EL1" i="91"/>
  <c r="EL5" i="91" l="1"/>
  <c r="EL15" i="91"/>
  <c r="EL13" i="91"/>
  <c r="EL14" i="91"/>
  <c r="EL10" i="91"/>
  <c r="EL12" i="91"/>
  <c r="EL6" i="91"/>
  <c r="EL7" i="91"/>
  <c r="EL9" i="91"/>
  <c r="EL11" i="91"/>
  <c r="EL8" i="91"/>
  <c r="EM1" i="91"/>
  <c r="EM4" i="91" l="1"/>
  <c r="EM15" i="91"/>
  <c r="EM13" i="91"/>
  <c r="EM14" i="91"/>
  <c r="EM10" i="91"/>
  <c r="EM7" i="91"/>
  <c r="EM6" i="91"/>
  <c r="EM12" i="91"/>
  <c r="EM11" i="91"/>
  <c r="EM9" i="91"/>
  <c r="EM8" i="91"/>
  <c r="EM5" i="91"/>
  <c r="EM3" i="91"/>
  <c r="EN1" i="91"/>
  <c r="EM2" i="91"/>
  <c r="EN5" i="91" l="1"/>
  <c r="EN15" i="91"/>
  <c r="EN12" i="91"/>
  <c r="EN9" i="91"/>
  <c r="EN6" i="91"/>
  <c r="EN13" i="91"/>
  <c r="EN7" i="91"/>
  <c r="EN14" i="91"/>
  <c r="EN10" i="91"/>
  <c r="EN11" i="91"/>
  <c r="EN8" i="91"/>
  <c r="EO1" i="91"/>
  <c r="EO5" i="91" l="1"/>
  <c r="EO6" i="91"/>
  <c r="EO15" i="91"/>
  <c r="EO14" i="91"/>
  <c r="EO11" i="91"/>
  <c r="EO12" i="91"/>
  <c r="EO7" i="91"/>
  <c r="EO8" i="91"/>
  <c r="EO10" i="91"/>
  <c r="EO13" i="91"/>
  <c r="EO9" i="91"/>
  <c r="EP1" i="91"/>
  <c r="EP4" i="91" l="1"/>
  <c r="EP12" i="91"/>
  <c r="EP15" i="91"/>
  <c r="EP14" i="91"/>
  <c r="EP11" i="91"/>
  <c r="EP8" i="91"/>
  <c r="EP7" i="91"/>
  <c r="EP6" i="91"/>
  <c r="EP13" i="91"/>
  <c r="EP9" i="91"/>
  <c r="EP10" i="91"/>
  <c r="EP5" i="91"/>
  <c r="EP3" i="91"/>
  <c r="EP2" i="91"/>
  <c r="EQ1" i="91"/>
  <c r="EQ5" i="91" l="1"/>
  <c r="EQ11" i="91"/>
  <c r="EQ9" i="91"/>
  <c r="EQ13" i="91"/>
  <c r="EQ7" i="91"/>
  <c r="EQ14" i="91"/>
  <c r="EQ12" i="91"/>
  <c r="EQ8" i="91"/>
  <c r="EQ15" i="91"/>
  <c r="EQ6" i="91"/>
  <c r="EQ10" i="91"/>
  <c r="ER1" i="91"/>
  <c r="ER5" i="91" l="1"/>
  <c r="ER15" i="91"/>
  <c r="ER7" i="91"/>
  <c r="ER12" i="91"/>
  <c r="ER10" i="91"/>
  <c r="ER14" i="91"/>
  <c r="ER11" i="91"/>
  <c r="ER6" i="91"/>
  <c r="ER13" i="91"/>
  <c r="ER8" i="91"/>
  <c r="ER9" i="91"/>
  <c r="ES1" i="91"/>
  <c r="ES4" i="91" l="1"/>
  <c r="ES14" i="91"/>
  <c r="ES13" i="91"/>
  <c r="ES9" i="91"/>
  <c r="ES6" i="91"/>
  <c r="ES15" i="91"/>
  <c r="ES11" i="91"/>
  <c r="ES8" i="91"/>
  <c r="ES10" i="91"/>
  <c r="ES7" i="91"/>
  <c r="ES12" i="91"/>
  <c r="ES5" i="91"/>
  <c r="ES3" i="91"/>
  <c r="ET1" i="91"/>
  <c r="ES2" i="91"/>
  <c r="ET5" i="91" l="1"/>
  <c r="ET9" i="91"/>
  <c r="ET11" i="91"/>
  <c r="ET10" i="91"/>
  <c r="ET13" i="91"/>
  <c r="ET14" i="91"/>
  <c r="ET6" i="91"/>
  <c r="ET8" i="91"/>
  <c r="ET7" i="91"/>
  <c r="ET15" i="91"/>
  <c r="ET12" i="91"/>
  <c r="EU1" i="91"/>
  <c r="EU5" i="91" l="1"/>
  <c r="EU15" i="91"/>
  <c r="EU14" i="91"/>
  <c r="EU13" i="91"/>
  <c r="EU8" i="91"/>
  <c r="EU9" i="91"/>
  <c r="EU6" i="91"/>
  <c r="EU7" i="91"/>
  <c r="EU11" i="91"/>
  <c r="EU10" i="91"/>
  <c r="EU12" i="91"/>
  <c r="EV1" i="91"/>
  <c r="EV4" i="91" l="1"/>
  <c r="EV14" i="91"/>
  <c r="EV12" i="91"/>
  <c r="EV9" i="91"/>
  <c r="EV11" i="91"/>
  <c r="EV13" i="91"/>
  <c r="EV6" i="91"/>
  <c r="EV7" i="91"/>
  <c r="EV8" i="91"/>
  <c r="EV10" i="91"/>
  <c r="EV15" i="91"/>
  <c r="EV5" i="91"/>
  <c r="EV3" i="91"/>
  <c r="EW1" i="91"/>
  <c r="EV2" i="91"/>
  <c r="EW5" i="91" l="1"/>
  <c r="EW14" i="91"/>
  <c r="EW7" i="91"/>
  <c r="EW8" i="91"/>
  <c r="EW9" i="91"/>
  <c r="EW13" i="91"/>
  <c r="EW11" i="91"/>
  <c r="EW6" i="91"/>
  <c r="EW12" i="91"/>
  <c r="EW10" i="91"/>
  <c r="EW15" i="91"/>
  <c r="EX1" i="91"/>
  <c r="EX5" i="91" l="1"/>
  <c r="EX13" i="91"/>
  <c r="EX12" i="91"/>
  <c r="EX11" i="91"/>
  <c r="EX8" i="91"/>
  <c r="EX15" i="91"/>
  <c r="EX14" i="91"/>
  <c r="EX7" i="91"/>
  <c r="EX6" i="91"/>
  <c r="EX10" i="91"/>
  <c r="EX9" i="91"/>
  <c r="EY1" i="91"/>
  <c r="EY4" i="91" l="1"/>
  <c r="EY14" i="91"/>
  <c r="EY12" i="91"/>
  <c r="EY7" i="91"/>
  <c r="EY10" i="91"/>
  <c r="EY13" i="91"/>
  <c r="EY15" i="91"/>
  <c r="EY9" i="91"/>
  <c r="EY11" i="91"/>
  <c r="EY6" i="91"/>
  <c r="EY8" i="91"/>
  <c r="EY5" i="91"/>
  <c r="EY3" i="91"/>
  <c r="EY2" i="91"/>
  <c r="EZ1" i="91"/>
  <c r="EZ5" i="91" l="1"/>
  <c r="EZ11" i="91"/>
  <c r="EZ14" i="91"/>
  <c r="EZ13" i="91"/>
  <c r="EZ15" i="91"/>
  <c r="EZ9" i="91"/>
  <c r="EZ12" i="91"/>
  <c r="EZ6" i="91"/>
  <c r="EZ8" i="91"/>
  <c r="EZ7" i="91"/>
  <c r="EZ10" i="91"/>
  <c r="FA1" i="91"/>
  <c r="FA5" i="91" l="1"/>
  <c r="FA10" i="91"/>
  <c r="FA8" i="91"/>
  <c r="FA13" i="91"/>
  <c r="FA11" i="91"/>
  <c r="FA6" i="91"/>
  <c r="FA12" i="91"/>
  <c r="FA14" i="91"/>
  <c r="FA15" i="91"/>
  <c r="FA9" i="91"/>
  <c r="FA7" i="91"/>
  <c r="FB1" i="91"/>
  <c r="FB4" i="91" l="1"/>
  <c r="FB14" i="91"/>
  <c r="FB6" i="91"/>
  <c r="FB11" i="91"/>
  <c r="FB13" i="91"/>
  <c r="FB12" i="91"/>
  <c r="FB15" i="91"/>
  <c r="FB8" i="91"/>
  <c r="FB10" i="91"/>
  <c r="FB7" i="91"/>
  <c r="FB9" i="91"/>
  <c r="FB5" i="91"/>
  <c r="FB3" i="91"/>
  <c r="FC1" i="91"/>
  <c r="FB2" i="91"/>
  <c r="FC5" i="91" l="1"/>
  <c r="FC13" i="91"/>
  <c r="FC6" i="91"/>
  <c r="FC8" i="91"/>
  <c r="FC10" i="91"/>
  <c r="FC14" i="91"/>
  <c r="FC15" i="91"/>
  <c r="FC12" i="91"/>
  <c r="FC11" i="91"/>
  <c r="FC9" i="91"/>
  <c r="FC7" i="91"/>
  <c r="FD1" i="91"/>
  <c r="FD5" i="91" l="1"/>
  <c r="FD11" i="91"/>
  <c r="FD12" i="91"/>
  <c r="FD8" i="91"/>
  <c r="FD15" i="91"/>
  <c r="FD10" i="91"/>
  <c r="FD9" i="91"/>
  <c r="FD13" i="91"/>
  <c r="FD6" i="91"/>
  <c r="FD7" i="91"/>
  <c r="FD14" i="91"/>
  <c r="FE1" i="91"/>
  <c r="FE4" i="91" l="1"/>
  <c r="FE12" i="91"/>
  <c r="FE13" i="91"/>
  <c r="FE10" i="91"/>
  <c r="FE15" i="91"/>
  <c r="FE14" i="91"/>
  <c r="FE9" i="91"/>
  <c r="FE8" i="91"/>
  <c r="FE11" i="91"/>
  <c r="FE6" i="91"/>
  <c r="FE7" i="91"/>
  <c r="FE5" i="91"/>
  <c r="FE3" i="91"/>
  <c r="FF1" i="91"/>
  <c r="FE2" i="91"/>
  <c r="FF5" i="91" l="1"/>
  <c r="FF15" i="91"/>
  <c r="FF13" i="91"/>
  <c r="FF11" i="91"/>
  <c r="FF14" i="91"/>
  <c r="FF8" i="91"/>
  <c r="FF12" i="91"/>
  <c r="FF7" i="91"/>
  <c r="FF10" i="91"/>
  <c r="FF9" i="91"/>
  <c r="FF6" i="91"/>
  <c r="FG1" i="91"/>
  <c r="FG5" i="91" l="1"/>
  <c r="FG15" i="91"/>
  <c r="FG13" i="91"/>
  <c r="FG10" i="91"/>
  <c r="FG12" i="91"/>
  <c r="FG9" i="91"/>
  <c r="FG7" i="91"/>
  <c r="FG8" i="91"/>
  <c r="FG11" i="91"/>
  <c r="FG14" i="91"/>
  <c r="FG6" i="91"/>
  <c r="FH1" i="91"/>
  <c r="FH4" i="91" l="1"/>
  <c r="FH13" i="91"/>
  <c r="FH15" i="91"/>
  <c r="FH14" i="91"/>
  <c r="FH6" i="91"/>
  <c r="FH11" i="91"/>
  <c r="FH10" i="91"/>
  <c r="FH7" i="91"/>
  <c r="FH12" i="91"/>
  <c r="FH9" i="91"/>
  <c r="FH8" i="91"/>
  <c r="FH5" i="91"/>
  <c r="FH3" i="91"/>
  <c r="FI1" i="91"/>
  <c r="FH2" i="91"/>
  <c r="FI5" i="91" l="1"/>
  <c r="FI15" i="91"/>
  <c r="FI13" i="91"/>
  <c r="FI14" i="91"/>
  <c r="FI6" i="91"/>
  <c r="FI9" i="91"/>
  <c r="FI11" i="91"/>
  <c r="FI12" i="91"/>
  <c r="FI10" i="91"/>
  <c r="FI8" i="91"/>
  <c r="FI7" i="91"/>
  <c r="FJ1" i="91"/>
  <c r="FJ5" i="91" l="1"/>
  <c r="FJ12" i="91"/>
  <c r="FJ15" i="91"/>
  <c r="FJ10" i="91"/>
  <c r="FJ11" i="91"/>
  <c r="FJ9" i="91"/>
  <c r="FJ8" i="91"/>
  <c r="FJ13" i="91"/>
  <c r="FJ14" i="91"/>
  <c r="FJ7" i="91"/>
  <c r="FJ6" i="91"/>
  <c r="FK1" i="91"/>
  <c r="FK4" i="91" l="1"/>
  <c r="FK11" i="91"/>
  <c r="FK9" i="91"/>
  <c r="FK15" i="91"/>
  <c r="FK6" i="91"/>
  <c r="FK10" i="91"/>
  <c r="FK12" i="91"/>
  <c r="FK13" i="91"/>
  <c r="FK14" i="91"/>
  <c r="FK8" i="91"/>
  <c r="FK7" i="91"/>
  <c r="FK5" i="91"/>
  <c r="FK3" i="91"/>
  <c r="FL1" i="91"/>
  <c r="FK2" i="91"/>
  <c r="FL5" i="91" l="1"/>
  <c r="FL12" i="91"/>
  <c r="FL14" i="91"/>
  <c r="FL7" i="91"/>
  <c r="FL11" i="91"/>
  <c r="FL15" i="91"/>
  <c r="FL10" i="91"/>
  <c r="FL13" i="91"/>
  <c r="FL8" i="91"/>
  <c r="FL9" i="91"/>
  <c r="FL6" i="91"/>
  <c r="FM1" i="91"/>
  <c r="FM5" i="91" l="1"/>
  <c r="FM12" i="91"/>
  <c r="FM7" i="91"/>
  <c r="FM8" i="91"/>
  <c r="FM11" i="91"/>
  <c r="FM15" i="91"/>
  <c r="FM9" i="91"/>
  <c r="FM13" i="91"/>
  <c r="FM6" i="91"/>
  <c r="FM14" i="91"/>
  <c r="FM10" i="91"/>
  <c r="FN1" i="91"/>
  <c r="FN4" i="91" l="1"/>
  <c r="FN13" i="91"/>
  <c r="FN15" i="91"/>
  <c r="FN11" i="91"/>
  <c r="FN8" i="91"/>
  <c r="FN12" i="91"/>
  <c r="FN7" i="91"/>
  <c r="FN6" i="91"/>
  <c r="FN14" i="91"/>
  <c r="FN10" i="91"/>
  <c r="FN9" i="91"/>
  <c r="FN5" i="91"/>
  <c r="FN3" i="91"/>
  <c r="FO1" i="91"/>
  <c r="FN2" i="91"/>
  <c r="FO5" i="91" l="1"/>
  <c r="FO15" i="91"/>
  <c r="FO12" i="91"/>
  <c r="FO9" i="91"/>
  <c r="FO11" i="91"/>
  <c r="FO7" i="91"/>
  <c r="FO10" i="91"/>
  <c r="FO6" i="91"/>
  <c r="FO13" i="91"/>
  <c r="FO14" i="91"/>
  <c r="FO8" i="91"/>
  <c r="FP1" i="91"/>
  <c r="FP5" i="91" l="1"/>
  <c r="FP14" i="91"/>
  <c r="FP12" i="91"/>
  <c r="FP15" i="91"/>
  <c r="FP10" i="91"/>
  <c r="FP7" i="91"/>
  <c r="FP11" i="91"/>
  <c r="FP8" i="91"/>
  <c r="FP13" i="91"/>
  <c r="FP6" i="91"/>
  <c r="FP9" i="91"/>
  <c r="FQ1" i="91"/>
  <c r="FQ4" i="91" l="1"/>
  <c r="FQ14" i="91"/>
  <c r="FQ12" i="91"/>
  <c r="FQ9" i="91"/>
  <c r="FQ15" i="91"/>
  <c r="FQ7" i="91"/>
  <c r="FQ10" i="91"/>
  <c r="FQ11" i="91"/>
  <c r="FQ8" i="91"/>
  <c r="FQ13" i="91"/>
  <c r="FQ6" i="91"/>
  <c r="FQ5" i="91"/>
  <c r="FQ3" i="91"/>
  <c r="FQ2" i="91"/>
  <c r="FR1" i="91"/>
  <c r="FR5" i="91" l="1"/>
  <c r="FR15" i="91"/>
  <c r="FR11" i="91"/>
  <c r="FR14" i="91"/>
  <c r="FR10" i="91"/>
  <c r="FR12" i="91"/>
  <c r="FR7" i="91"/>
  <c r="FR9" i="91"/>
  <c r="FR8" i="91"/>
  <c r="FR6" i="91"/>
  <c r="FR13" i="91"/>
  <c r="FS1" i="91"/>
  <c r="FS5" i="91" l="1"/>
  <c r="FS7" i="91"/>
  <c r="FS14" i="91"/>
  <c r="FS8" i="91"/>
  <c r="FS13" i="91"/>
  <c r="FS10" i="91"/>
  <c r="FS15" i="91"/>
  <c r="FS11" i="91"/>
  <c r="FS9" i="91"/>
  <c r="FS12" i="91"/>
  <c r="FS6" i="91"/>
  <c r="FT1" i="91"/>
  <c r="FT4" i="91" l="1"/>
  <c r="FT15" i="91"/>
  <c r="FT11" i="91"/>
  <c r="FT10" i="91"/>
  <c r="FT8" i="91"/>
  <c r="FT13" i="91"/>
  <c r="FT7" i="91"/>
  <c r="FT6" i="91"/>
  <c r="FT14" i="91"/>
  <c r="FT9" i="91"/>
  <c r="FT12" i="91"/>
  <c r="FT5" i="91"/>
  <c r="FT3" i="91"/>
  <c r="FU1" i="91"/>
  <c r="FT2" i="91"/>
  <c r="FU5" i="91" l="1"/>
  <c r="FU14" i="91"/>
  <c r="FU12" i="91"/>
  <c r="FU13" i="91"/>
  <c r="FU10" i="91"/>
  <c r="FU8" i="91"/>
  <c r="FU15" i="91"/>
  <c r="FU11" i="91"/>
  <c r="FU9" i="91"/>
  <c r="FU7" i="91"/>
  <c r="FU6" i="91"/>
  <c r="FV1" i="91"/>
  <c r="FV5" i="91" l="1"/>
  <c r="FV11" i="91"/>
  <c r="FV6" i="91"/>
  <c r="FV13" i="91"/>
  <c r="FV15" i="91"/>
  <c r="FV8" i="91"/>
  <c r="FV9" i="91"/>
  <c r="FV12" i="91"/>
  <c r="FV7" i="91"/>
  <c r="FV10" i="91"/>
  <c r="FV14" i="91"/>
  <c r="FW1" i="91"/>
  <c r="FW4" i="91" l="1"/>
  <c r="FW11" i="91"/>
  <c r="FW14" i="91"/>
  <c r="FW13" i="91"/>
  <c r="FW8" i="91"/>
  <c r="FW9" i="91"/>
  <c r="FW6" i="91"/>
  <c r="FW12" i="91"/>
  <c r="FW10" i="91"/>
  <c r="FW7" i="91"/>
  <c r="FW15" i="91"/>
  <c r="FW5" i="91"/>
  <c r="FW3" i="91"/>
  <c r="FX1" i="91"/>
  <c r="FW2" i="91"/>
  <c r="FX5" i="91" l="1"/>
  <c r="FX11" i="91"/>
  <c r="FX12" i="91"/>
  <c r="FX13" i="91"/>
  <c r="FX9" i="91"/>
  <c r="FX6" i="91"/>
  <c r="FX14" i="91"/>
  <c r="FX8" i="91"/>
  <c r="FX10" i="91"/>
  <c r="FX15" i="91"/>
  <c r="FX7" i="91"/>
  <c r="FY1" i="91"/>
  <c r="FY5" i="91" l="1"/>
  <c r="FY14" i="91"/>
  <c r="FY8" i="91"/>
  <c r="FY12" i="91"/>
  <c r="FY6" i="91"/>
  <c r="FY9" i="91"/>
  <c r="FY13" i="91"/>
  <c r="FY10" i="91"/>
  <c r="FY11" i="91"/>
  <c r="FY7" i="91"/>
  <c r="FY15" i="91"/>
  <c r="FZ1" i="91"/>
  <c r="FZ4" i="91" l="1"/>
  <c r="FZ15" i="91"/>
  <c r="FZ13" i="91"/>
  <c r="FZ14" i="91"/>
  <c r="FZ10" i="91"/>
  <c r="FZ9" i="91"/>
  <c r="FZ12" i="91"/>
  <c r="FZ6" i="91"/>
  <c r="FZ7" i="91"/>
  <c r="FZ8" i="91"/>
  <c r="FZ11" i="91"/>
  <c r="FZ5" i="91"/>
  <c r="FZ3" i="91"/>
  <c r="FZ2" i="91"/>
  <c r="GA1" i="91"/>
  <c r="GA5" i="91" l="1"/>
  <c r="GA15" i="91"/>
  <c r="GA13" i="91"/>
  <c r="GA8" i="91"/>
  <c r="GA12" i="91"/>
  <c r="GA9" i="91"/>
  <c r="GA14" i="91"/>
  <c r="GA10" i="91"/>
  <c r="GA6" i="91"/>
  <c r="GA7" i="91"/>
  <c r="GA11" i="91"/>
  <c r="GB1" i="91"/>
  <c r="GB5" i="91" l="1"/>
  <c r="GB12" i="91"/>
  <c r="GB11" i="91"/>
  <c r="GB13" i="91"/>
  <c r="GB14" i="91"/>
  <c r="GB10" i="91"/>
  <c r="GB8" i="91"/>
  <c r="GB6" i="91"/>
  <c r="GB7" i="91"/>
  <c r="GB9" i="91"/>
  <c r="GB15" i="91"/>
  <c r="GC1" i="91"/>
  <c r="GC4" i="91" l="1"/>
  <c r="GC6" i="91"/>
  <c r="GC9" i="91"/>
  <c r="GC7" i="91"/>
  <c r="GC15" i="91"/>
  <c r="GC12" i="91"/>
  <c r="GC10" i="91"/>
  <c r="GC8" i="91"/>
  <c r="GC11" i="91"/>
  <c r="GC14" i="91"/>
  <c r="GC13" i="91"/>
  <c r="GC5" i="91"/>
  <c r="GC3" i="91"/>
  <c r="GD1" i="91"/>
  <c r="GC2" i="91"/>
  <c r="GD5" i="91" l="1"/>
  <c r="GD12" i="91"/>
  <c r="GD13" i="91"/>
  <c r="GD9" i="91"/>
  <c r="GD7" i="91"/>
  <c r="GD14" i="91"/>
  <c r="GD15" i="91"/>
  <c r="GD6" i="91"/>
  <c r="GD8" i="91"/>
  <c r="GD10" i="91"/>
  <c r="GD11" i="91"/>
  <c r="GE1" i="91"/>
  <c r="GE5" i="91" l="1"/>
  <c r="GE15" i="91"/>
  <c r="GE13" i="91"/>
  <c r="GE11" i="91"/>
  <c r="GE9" i="91"/>
  <c r="GE14" i="91"/>
  <c r="GE6" i="91"/>
  <c r="GE12" i="91"/>
  <c r="GE7" i="91"/>
  <c r="GE10" i="91"/>
  <c r="GE8" i="91"/>
  <c r="GF1" i="91"/>
  <c r="GF4" i="91" l="1"/>
  <c r="GF14" i="91"/>
  <c r="GF7" i="91"/>
  <c r="GF15" i="91"/>
  <c r="GF13" i="91"/>
  <c r="GF11" i="91"/>
  <c r="GF12" i="91"/>
  <c r="GF10" i="91"/>
  <c r="GF8" i="91"/>
  <c r="GF9" i="91"/>
  <c r="GF6" i="91"/>
  <c r="GF5" i="91"/>
  <c r="GF3" i="91"/>
  <c r="GG1" i="91"/>
  <c r="GF2" i="91"/>
  <c r="GG5" i="91" l="1"/>
  <c r="GG13" i="91"/>
  <c r="GG12" i="91"/>
  <c r="GG9" i="91"/>
  <c r="GG6" i="91"/>
  <c r="GG14" i="91"/>
  <c r="GG11" i="91"/>
  <c r="GG15" i="91"/>
  <c r="GG8" i="91"/>
  <c r="GG10" i="91"/>
  <c r="GG7" i="91"/>
  <c r="GH1" i="91"/>
  <c r="GH5" i="91" l="1"/>
  <c r="GH15" i="91"/>
  <c r="GH13" i="91"/>
  <c r="GH12" i="91"/>
  <c r="GH14" i="91"/>
  <c r="GH11" i="91"/>
  <c r="GH10" i="91"/>
  <c r="GH8" i="91"/>
  <c r="GH9" i="91"/>
  <c r="GH7" i="91"/>
  <c r="GH6" i="91"/>
  <c r="GI1" i="91"/>
  <c r="GI4" i="91" l="1"/>
  <c r="GI12" i="91"/>
  <c r="GI15" i="91"/>
  <c r="GI10" i="91"/>
  <c r="GI8" i="91"/>
  <c r="GI13" i="91"/>
  <c r="GI14" i="91"/>
  <c r="GI9" i="91"/>
  <c r="GI7" i="91"/>
  <c r="GI6" i="91"/>
  <c r="GI11" i="91"/>
  <c r="GI5" i="91"/>
  <c r="GI3" i="91"/>
  <c r="GI2" i="91"/>
  <c r="GJ1" i="91"/>
  <c r="GJ5" i="91" l="1"/>
  <c r="GJ14" i="91"/>
  <c r="GJ12" i="91"/>
  <c r="GJ13" i="91"/>
  <c r="GJ9" i="91"/>
  <c r="GJ7" i="91"/>
  <c r="GJ15" i="91"/>
  <c r="GJ8" i="91"/>
  <c r="GJ6" i="91"/>
  <c r="GJ11" i="91"/>
  <c r="GJ10" i="91"/>
  <c r="GK1" i="91"/>
  <c r="GK5" i="91" l="1"/>
  <c r="GK14" i="91"/>
  <c r="GK12" i="91"/>
  <c r="GK13" i="91"/>
  <c r="GK7" i="91"/>
  <c r="GK15" i="91"/>
  <c r="GK8" i="91"/>
  <c r="GK11" i="91"/>
  <c r="GK10" i="91"/>
  <c r="GK6" i="91"/>
  <c r="GK9" i="91"/>
  <c r="GL1" i="91"/>
  <c r="GL4" i="91" l="1"/>
  <c r="GL9" i="91"/>
  <c r="GL15" i="91"/>
  <c r="GL11" i="91"/>
  <c r="GL13" i="91"/>
  <c r="GL8" i="91"/>
  <c r="GL10" i="91"/>
  <c r="GL7" i="91"/>
  <c r="GL12" i="91"/>
  <c r="GL14" i="91"/>
  <c r="GL6" i="91"/>
  <c r="GL5" i="91"/>
  <c r="GL3" i="91"/>
  <c r="GM1" i="91"/>
  <c r="GL2" i="91"/>
  <c r="GM5" i="91" l="1"/>
  <c r="GM14" i="91"/>
  <c r="GM7" i="91"/>
  <c r="GM11" i="91"/>
  <c r="GM15" i="91"/>
  <c r="GM12" i="91"/>
  <c r="GM13" i="91"/>
  <c r="GM6" i="91"/>
  <c r="GM8" i="91"/>
  <c r="GM10" i="91"/>
  <c r="GM9" i="91"/>
  <c r="GN1" i="91"/>
  <c r="GN5" i="91" l="1"/>
  <c r="GN15" i="91"/>
  <c r="GN12" i="91"/>
  <c r="GN8" i="91"/>
  <c r="GN13" i="91"/>
  <c r="GN7" i="91"/>
  <c r="GN10" i="91"/>
  <c r="GN14" i="91"/>
  <c r="GN6" i="91"/>
  <c r="GN11" i="91"/>
  <c r="GN9" i="91"/>
  <c r="GO1" i="91"/>
  <c r="GO4" i="91" l="1"/>
  <c r="GO15" i="91"/>
  <c r="GO10" i="91"/>
  <c r="GO8" i="91"/>
  <c r="GO11" i="91"/>
  <c r="GO14" i="91"/>
  <c r="GO6" i="91"/>
  <c r="GO13" i="91"/>
  <c r="GO12" i="91"/>
  <c r="GO7" i="91"/>
  <c r="GO9" i="91"/>
  <c r="GO5" i="91"/>
  <c r="GO3" i="91"/>
  <c r="GP1" i="91"/>
  <c r="GO2" i="91"/>
  <c r="GP5" i="91" l="1"/>
  <c r="GP12" i="91"/>
  <c r="GP11" i="91"/>
  <c r="GP10" i="91"/>
  <c r="GP6" i="91"/>
  <c r="GP14" i="91"/>
  <c r="GP13" i="91"/>
  <c r="GP7" i="91"/>
  <c r="GP15" i="91"/>
  <c r="GP9" i="91"/>
  <c r="GP8" i="91"/>
  <c r="GQ1" i="91"/>
  <c r="GQ5" i="91" l="1"/>
  <c r="GQ14" i="91"/>
  <c r="GQ12" i="91"/>
  <c r="GQ15" i="91"/>
  <c r="GQ9" i="91"/>
  <c r="GQ13" i="91"/>
  <c r="GQ7" i="91"/>
  <c r="GQ6" i="91"/>
  <c r="GQ10" i="91"/>
  <c r="GQ11" i="91"/>
  <c r="GQ8" i="91"/>
  <c r="GR1" i="91"/>
  <c r="GR4" i="91" l="1"/>
  <c r="GR13" i="91"/>
  <c r="GR11" i="91"/>
  <c r="GR10" i="91"/>
  <c r="GR14" i="91"/>
  <c r="GR9" i="91"/>
  <c r="GR8" i="91"/>
  <c r="GR6" i="91"/>
  <c r="GR7" i="91"/>
  <c r="GR12" i="91"/>
  <c r="GR15" i="91"/>
  <c r="GR5" i="91"/>
  <c r="GR3" i="91"/>
  <c r="GS1" i="91"/>
  <c r="GR2" i="91"/>
  <c r="GS5" i="91" l="1"/>
  <c r="GS11" i="91"/>
  <c r="GS12" i="91"/>
  <c r="GS15" i="91"/>
  <c r="GS14" i="91"/>
  <c r="GS8" i="91"/>
  <c r="GS13" i="91"/>
  <c r="GS7" i="91"/>
  <c r="GS9" i="91"/>
  <c r="GS6" i="91"/>
  <c r="GS10" i="91"/>
  <c r="GT1" i="91"/>
  <c r="GT5" i="91" l="1"/>
  <c r="GT15" i="91"/>
  <c r="GT13" i="91"/>
  <c r="GT11" i="91"/>
  <c r="GT8" i="91"/>
  <c r="GT14" i="91"/>
  <c r="GT6" i="91"/>
  <c r="GT7" i="91"/>
  <c r="GT9" i="91"/>
  <c r="GT10" i="91"/>
  <c r="GT12" i="91"/>
  <c r="GU1" i="91"/>
  <c r="GU4" i="91" l="1"/>
  <c r="GU15" i="91"/>
  <c r="GU13" i="91"/>
  <c r="GU10" i="91"/>
  <c r="GU14" i="91"/>
  <c r="GU11" i="91"/>
  <c r="GU6" i="91"/>
  <c r="GU9" i="91"/>
  <c r="GU7" i="91"/>
  <c r="GU8" i="91"/>
  <c r="GU12" i="91"/>
  <c r="GU5" i="91"/>
  <c r="GU3" i="91"/>
  <c r="GV1" i="91"/>
  <c r="GU2" i="91"/>
  <c r="GV5" i="91" l="1"/>
  <c r="GV14" i="91"/>
  <c r="GV11" i="91"/>
  <c r="GV8" i="91"/>
  <c r="GV9" i="91"/>
  <c r="GV13" i="91"/>
  <c r="GV12" i="91"/>
  <c r="GV10" i="91"/>
  <c r="GV6" i="91"/>
  <c r="GV7" i="91"/>
  <c r="GV15" i="91"/>
  <c r="GW1" i="91"/>
  <c r="GW5" i="91" l="1"/>
  <c r="GW12" i="91"/>
  <c r="GW15" i="91"/>
  <c r="GW10" i="91"/>
  <c r="GW6" i="91"/>
  <c r="GW8" i="91"/>
  <c r="GW14" i="91"/>
  <c r="GW13" i="91"/>
  <c r="GW11" i="91"/>
  <c r="GW9" i="91"/>
  <c r="GW7" i="91"/>
  <c r="GX1" i="91"/>
  <c r="GX4" i="91" l="1"/>
  <c r="GX11" i="91"/>
  <c r="GX12" i="91"/>
  <c r="GX10" i="91"/>
  <c r="GX6" i="91"/>
  <c r="GX13" i="91"/>
  <c r="GX14" i="91"/>
  <c r="GX9" i="91"/>
  <c r="GX8" i="91"/>
  <c r="GX15" i="91"/>
  <c r="GX7" i="91"/>
  <c r="GX5" i="91"/>
  <c r="GX3" i="91"/>
  <c r="GY1" i="91"/>
  <c r="GX2" i="91"/>
  <c r="GY5" i="91" l="1"/>
  <c r="GY11" i="91"/>
  <c r="GY9" i="91"/>
  <c r="GY12" i="91"/>
  <c r="GY14" i="91"/>
  <c r="GY15" i="91"/>
  <c r="GY10" i="91"/>
  <c r="GY8" i="91"/>
  <c r="GY6" i="91"/>
  <c r="GY7" i="91"/>
  <c r="GY13" i="91"/>
  <c r="GZ1" i="91"/>
  <c r="GZ5" i="91" l="1"/>
  <c r="GZ9" i="91"/>
  <c r="GZ7" i="91"/>
  <c r="GZ13" i="91"/>
  <c r="GZ12" i="91"/>
  <c r="GZ6" i="91"/>
  <c r="GZ11" i="91"/>
  <c r="GZ10" i="91"/>
  <c r="GZ15" i="91"/>
  <c r="GZ8" i="91"/>
  <c r="GZ14" i="91"/>
  <c r="HA1" i="91"/>
  <c r="HA4" i="91" l="1"/>
  <c r="HA15" i="91"/>
  <c r="HA13" i="91"/>
  <c r="HA14" i="91"/>
  <c r="HA6" i="91"/>
  <c r="HA12" i="91"/>
  <c r="HA7" i="91"/>
  <c r="HA11" i="91"/>
  <c r="HA8" i="91"/>
  <c r="HA10" i="91"/>
  <c r="HA9" i="91"/>
  <c r="HA5" i="91"/>
  <c r="HA3" i="91"/>
  <c r="HA2" i="91"/>
  <c r="HB1" i="91"/>
  <c r="HB5" i="91" l="1"/>
  <c r="HB13" i="91"/>
  <c r="HB15" i="91"/>
  <c r="HB7" i="91"/>
  <c r="HB12" i="91"/>
  <c r="HB11" i="91"/>
  <c r="HB10" i="91"/>
  <c r="HB6" i="91"/>
  <c r="HB14" i="91"/>
  <c r="HB9" i="91"/>
  <c r="HB8" i="91"/>
  <c r="HC1" i="91"/>
  <c r="HC5" i="91" l="1"/>
  <c r="HC14" i="91"/>
  <c r="HC12" i="91"/>
  <c r="HC13" i="91"/>
  <c r="HC6" i="91"/>
  <c r="HC9" i="91"/>
  <c r="HC11" i="91"/>
  <c r="HC7" i="91"/>
  <c r="HC15" i="91"/>
  <c r="HC10" i="91"/>
  <c r="HC8" i="91"/>
  <c r="HD1" i="91"/>
  <c r="HD4" i="91" l="1"/>
  <c r="HD14" i="91"/>
  <c r="HD12" i="91"/>
  <c r="HD11" i="91"/>
  <c r="HD9" i="91"/>
  <c r="HD8" i="91"/>
  <c r="HD7" i="91"/>
  <c r="HD15" i="91"/>
  <c r="HD6" i="91"/>
  <c r="HD10" i="91"/>
  <c r="HD13" i="91"/>
  <c r="HD5" i="91"/>
  <c r="HD3" i="91"/>
  <c r="HE1" i="91"/>
  <c r="HD2" i="91"/>
  <c r="HE5" i="91" l="1"/>
  <c r="HE14" i="91"/>
  <c r="HE12" i="91"/>
  <c r="HE15" i="91"/>
  <c r="HE9" i="91"/>
  <c r="HE7" i="91"/>
  <c r="HE10" i="91"/>
  <c r="HE8" i="91"/>
  <c r="HE11" i="91"/>
  <c r="HE13" i="91"/>
  <c r="HE6" i="91"/>
  <c r="HF1" i="91"/>
  <c r="HF5" i="91" l="1"/>
  <c r="HF14" i="91"/>
  <c r="HF13" i="91"/>
  <c r="HF9" i="91"/>
  <c r="HF10" i="91"/>
  <c r="HF12" i="91"/>
  <c r="HF8" i="91"/>
  <c r="HF6" i="91"/>
  <c r="HF11" i="91"/>
  <c r="HF7" i="91"/>
  <c r="HF15" i="91"/>
  <c r="HG1" i="91"/>
  <c r="HG4" i="91" l="1"/>
  <c r="HG13" i="91"/>
  <c r="HG14" i="91"/>
  <c r="HG9" i="91"/>
  <c r="HG7" i="91"/>
  <c r="HG10" i="91"/>
  <c r="HG8" i="91"/>
  <c r="HG6" i="91"/>
  <c r="HG15" i="91"/>
  <c r="HG12" i="91"/>
  <c r="HG11" i="91"/>
  <c r="HG5" i="91"/>
  <c r="HG3" i="91"/>
  <c r="HH1" i="91"/>
  <c r="HG2" i="91"/>
  <c r="HH5" i="91" l="1"/>
  <c r="HH12" i="91"/>
  <c r="HH13" i="91"/>
  <c r="HH15" i="91"/>
  <c r="HH9" i="91"/>
  <c r="HH8" i="91"/>
  <c r="HH6" i="91"/>
  <c r="HH14" i="91"/>
  <c r="HH10" i="91"/>
  <c r="HH7" i="91"/>
  <c r="HH11" i="91"/>
  <c r="HI1" i="91"/>
  <c r="HI5" i="91" l="1"/>
  <c r="HI10" i="91"/>
  <c r="HI8" i="91"/>
  <c r="HI7" i="91"/>
  <c r="HI13" i="91"/>
  <c r="HI9" i="91"/>
  <c r="HI15" i="91"/>
  <c r="HI6" i="91"/>
  <c r="HI11" i="91"/>
  <c r="HI14" i="91"/>
  <c r="HI12" i="91"/>
  <c r="HJ1" i="91"/>
  <c r="HJ4" i="91" l="1"/>
  <c r="HJ13" i="91"/>
  <c r="HJ8" i="91"/>
  <c r="HJ6" i="91"/>
  <c r="HJ12" i="91"/>
  <c r="HJ14" i="91"/>
  <c r="HJ10" i="91"/>
  <c r="HJ11" i="91"/>
  <c r="HJ15" i="91"/>
  <c r="HJ7" i="91"/>
  <c r="HJ9" i="91"/>
  <c r="HJ5" i="91"/>
  <c r="HJ3" i="91"/>
  <c r="HK1" i="91"/>
  <c r="HJ2" i="91"/>
  <c r="HK5" i="91" l="1"/>
  <c r="HK10" i="91"/>
  <c r="HK12" i="91"/>
  <c r="HK11" i="91"/>
  <c r="HK7" i="91"/>
  <c r="HK13" i="91"/>
  <c r="HK8" i="91"/>
  <c r="HK15" i="91"/>
  <c r="HK14" i="91"/>
  <c r="HK9" i="91"/>
  <c r="HK6" i="91"/>
  <c r="HL1" i="91"/>
  <c r="HL5" i="91" l="1"/>
  <c r="HL15" i="91"/>
  <c r="HL14" i="91"/>
  <c r="HL13" i="91"/>
  <c r="HL12" i="91"/>
  <c r="HL11" i="91"/>
  <c r="HL8" i="91"/>
  <c r="HL10" i="91"/>
  <c r="HL9" i="91"/>
  <c r="HL6" i="91"/>
  <c r="HL7" i="91"/>
  <c r="HM1" i="91"/>
  <c r="HM4" i="91" l="1"/>
  <c r="HM14" i="91"/>
  <c r="HM12" i="91"/>
  <c r="HM11" i="91"/>
  <c r="HM15" i="91"/>
  <c r="HM13" i="91"/>
  <c r="HM8" i="91"/>
  <c r="HM10" i="91"/>
  <c r="HM9" i="91"/>
  <c r="HM7" i="91"/>
  <c r="HM6" i="91"/>
  <c r="HM5" i="91"/>
  <c r="HM3" i="91"/>
  <c r="HN1" i="91"/>
  <c r="HM2" i="91"/>
  <c r="HN5" i="91" l="1"/>
  <c r="HN15" i="91"/>
  <c r="HN13" i="91"/>
  <c r="HN10" i="91"/>
  <c r="HN11" i="91"/>
  <c r="HN8" i="91"/>
  <c r="HN14" i="91"/>
  <c r="HN9" i="91"/>
  <c r="HN7" i="91"/>
  <c r="HN6" i="91"/>
  <c r="HN12" i="91"/>
  <c r="HO1" i="91"/>
  <c r="HO5" i="91" l="1"/>
  <c r="HO15" i="91"/>
  <c r="HO13" i="91"/>
  <c r="HO8" i="91"/>
  <c r="HO12" i="91"/>
  <c r="HO11" i="91"/>
  <c r="HO7" i="91"/>
  <c r="HO10" i="91"/>
  <c r="HO6" i="91"/>
  <c r="HO9" i="91"/>
  <c r="HO14" i="91"/>
  <c r="HP1" i="91"/>
  <c r="HP4" i="91" l="1"/>
  <c r="HP15" i="91"/>
  <c r="HP11" i="91"/>
  <c r="HP10" i="91"/>
  <c r="HP12" i="91"/>
  <c r="HP6" i="91"/>
  <c r="HP14" i="91"/>
  <c r="HP8" i="91"/>
  <c r="HP7" i="91"/>
  <c r="HP13" i="91"/>
  <c r="HP9" i="91"/>
  <c r="HP5" i="91"/>
  <c r="HP3" i="91"/>
  <c r="HQ1" i="91"/>
  <c r="HP2" i="91"/>
  <c r="HQ5" i="91" l="1"/>
  <c r="HQ13" i="91"/>
  <c r="HQ8" i="91"/>
  <c r="HQ6" i="91"/>
  <c r="HQ11" i="91"/>
  <c r="HQ15" i="91"/>
  <c r="HQ10" i="91"/>
  <c r="HQ14" i="91"/>
  <c r="HQ7" i="91"/>
  <c r="HQ9" i="91"/>
  <c r="HQ12" i="91"/>
  <c r="HR1" i="91"/>
  <c r="HR5" i="91" l="1"/>
  <c r="HR10" i="91"/>
  <c r="HR12" i="91"/>
  <c r="HR14" i="91"/>
  <c r="HR6" i="91"/>
  <c r="HR15" i="91"/>
  <c r="HR11" i="91"/>
  <c r="HR13" i="91"/>
  <c r="HR7" i="91"/>
  <c r="HR9" i="91"/>
  <c r="HR8" i="91"/>
  <c r="HS1" i="91"/>
  <c r="HS4" i="91" l="1"/>
  <c r="HS9" i="91"/>
  <c r="HS14" i="91"/>
  <c r="HS11" i="91"/>
  <c r="HS8" i="91"/>
  <c r="HS6" i="91"/>
  <c r="HS15" i="91"/>
  <c r="HS12" i="91"/>
  <c r="HS10" i="91"/>
  <c r="HS7" i="91"/>
  <c r="HS13" i="91"/>
  <c r="HS5" i="91"/>
  <c r="HS3" i="91"/>
  <c r="HS2" i="91"/>
  <c r="HT1" i="91"/>
  <c r="HT5" i="91" l="1"/>
  <c r="HT11" i="91"/>
  <c r="HT12" i="91"/>
  <c r="HT15" i="91"/>
  <c r="HT7" i="91"/>
  <c r="HT9" i="91"/>
  <c r="HT10" i="91"/>
  <c r="HT14" i="91"/>
  <c r="HT6" i="91"/>
  <c r="HT8" i="91"/>
  <c r="HT13" i="91"/>
  <c r="HU1" i="91"/>
  <c r="HU5" i="91" l="1"/>
  <c r="HU9" i="91"/>
  <c r="HU8" i="91"/>
  <c r="HU13" i="91"/>
  <c r="HU7" i="91"/>
  <c r="HU11" i="91"/>
  <c r="HU15" i="91"/>
  <c r="HU12" i="91"/>
  <c r="HU14" i="91"/>
  <c r="HU10" i="91"/>
  <c r="HU6" i="91"/>
  <c r="HV1" i="91"/>
  <c r="HV4" i="91" l="1"/>
  <c r="HV12" i="91"/>
  <c r="HV11" i="91"/>
  <c r="HV15" i="91"/>
  <c r="HV14" i="91"/>
  <c r="HV9" i="91"/>
  <c r="HV7" i="91"/>
  <c r="HV10" i="91"/>
  <c r="HV6" i="91"/>
  <c r="HV8" i="91"/>
  <c r="HV13" i="91"/>
  <c r="HV5" i="91"/>
  <c r="HV3" i="91"/>
  <c r="HW1" i="91"/>
  <c r="HV2" i="91"/>
  <c r="HW5" i="91" l="1"/>
  <c r="HW15" i="91"/>
  <c r="HW13" i="91"/>
  <c r="HW12" i="91"/>
  <c r="HW11" i="91"/>
  <c r="HW14" i="91"/>
  <c r="HW6" i="91"/>
  <c r="HW7" i="91"/>
  <c r="HW9" i="91"/>
  <c r="HW8" i="91"/>
  <c r="HW10" i="91"/>
  <c r="HX1" i="91"/>
  <c r="HX5" i="91" l="1"/>
  <c r="HX14" i="91"/>
  <c r="HX12" i="91"/>
  <c r="HX11" i="91"/>
  <c r="HX13" i="91"/>
  <c r="HX7" i="91"/>
  <c r="HX15" i="91"/>
  <c r="HX9" i="91"/>
  <c r="HX10" i="91"/>
  <c r="HX8" i="91"/>
  <c r="HX6" i="91"/>
  <c r="HY1" i="91"/>
  <c r="HY4" i="91" l="1"/>
  <c r="HY14" i="91"/>
  <c r="HY12" i="91"/>
  <c r="HY15" i="91"/>
  <c r="HY7" i="91"/>
  <c r="HY6" i="91"/>
  <c r="HY10" i="91"/>
  <c r="HY13" i="91"/>
  <c r="HY11" i="91"/>
  <c r="HY9" i="91"/>
  <c r="HY8" i="91"/>
  <c r="HY5" i="91"/>
  <c r="HY3" i="91"/>
  <c r="HZ1" i="91"/>
  <c r="HY2" i="91"/>
  <c r="HZ5" i="91" l="1"/>
  <c r="HZ9" i="91"/>
  <c r="HZ7" i="91"/>
  <c r="HZ15" i="91"/>
  <c r="HZ10" i="91"/>
  <c r="HZ6" i="91"/>
  <c r="HZ14" i="91"/>
  <c r="HZ11" i="91"/>
  <c r="HZ12" i="91"/>
  <c r="HZ8" i="91"/>
  <c r="HZ13" i="91"/>
  <c r="IA1" i="91"/>
  <c r="IA5" i="91" l="1"/>
  <c r="IA13" i="91"/>
  <c r="IA7" i="91"/>
  <c r="IA11" i="91"/>
  <c r="IA15" i="91"/>
  <c r="IA10" i="91"/>
  <c r="IA14" i="91"/>
  <c r="IA9" i="91"/>
  <c r="IA12" i="91"/>
  <c r="IA6" i="91"/>
  <c r="IA8" i="91"/>
  <c r="IB1" i="91"/>
  <c r="IB4" i="91" l="1"/>
  <c r="IB14" i="91"/>
  <c r="IB15" i="91"/>
  <c r="IB9" i="91"/>
  <c r="IB6" i="91"/>
  <c r="IB13" i="91"/>
  <c r="IB12" i="91"/>
  <c r="IB10" i="91"/>
  <c r="IB8" i="91"/>
  <c r="IB7" i="91"/>
  <c r="IB11" i="91"/>
  <c r="IB5" i="91"/>
  <c r="IB3" i="91"/>
  <c r="IC1" i="91"/>
  <c r="IB2" i="91"/>
  <c r="IC5" i="91" l="1"/>
  <c r="IC10" i="91"/>
  <c r="IC8" i="91"/>
  <c r="IC14" i="91"/>
  <c r="IC13" i="91"/>
  <c r="IC11" i="91"/>
  <c r="IC9" i="91"/>
  <c r="IC12" i="91"/>
  <c r="IC15" i="91"/>
  <c r="IC6" i="91"/>
  <c r="IC7" i="91"/>
  <c r="ID1" i="91"/>
  <c r="ID5" i="91" l="1"/>
  <c r="ID12" i="91"/>
  <c r="ID13" i="91"/>
  <c r="ID6" i="91"/>
  <c r="ID14" i="91"/>
  <c r="ID8" i="91"/>
  <c r="ID15" i="91"/>
  <c r="ID10" i="91"/>
  <c r="ID9" i="91"/>
  <c r="ID11" i="91"/>
  <c r="ID7" i="91"/>
  <c r="IE1" i="91"/>
  <c r="IE4" i="91" l="1"/>
  <c r="IE12" i="91"/>
  <c r="IE13" i="91"/>
  <c r="IE14" i="91"/>
  <c r="IE8" i="91"/>
  <c r="IE9" i="91"/>
  <c r="IE10" i="91"/>
  <c r="IE15" i="91"/>
  <c r="IE11" i="91"/>
  <c r="IE6" i="91"/>
  <c r="IE7" i="91"/>
  <c r="IE5" i="91"/>
  <c r="IE3" i="91"/>
  <c r="IF1" i="91"/>
  <c r="IE2" i="91"/>
  <c r="IF5" i="91" l="1"/>
  <c r="IF14" i="91"/>
  <c r="IF10" i="91"/>
  <c r="IF7" i="91"/>
  <c r="IF15" i="91"/>
  <c r="IF13" i="91"/>
  <c r="IF6" i="91"/>
  <c r="IF8" i="91"/>
  <c r="IF9" i="91"/>
  <c r="IF11" i="91"/>
  <c r="IF12" i="91"/>
  <c r="IG1" i="91"/>
  <c r="IG5" i="91" l="1"/>
  <c r="IG13" i="91"/>
  <c r="IG15" i="91"/>
  <c r="IG10" i="91"/>
  <c r="IG12" i="91"/>
  <c r="IG8" i="91"/>
  <c r="IG9" i="91"/>
  <c r="IG6" i="91"/>
  <c r="IG14" i="91"/>
  <c r="IG11" i="91"/>
  <c r="IG7" i="91"/>
  <c r="IH1" i="91"/>
  <c r="IH4" i="91" l="1"/>
  <c r="IH15" i="91"/>
  <c r="IH13" i="91"/>
  <c r="IH11" i="91"/>
  <c r="IH14" i="91"/>
  <c r="IH7" i="91"/>
  <c r="IH12" i="91"/>
  <c r="IH8" i="91"/>
  <c r="IH9" i="91"/>
  <c r="IH6" i="91"/>
  <c r="IH10" i="91"/>
  <c r="IH5" i="91"/>
  <c r="IH3" i="91"/>
  <c r="II1" i="91"/>
  <c r="IH2" i="91"/>
  <c r="II5" i="91" l="1"/>
  <c r="II15" i="91"/>
  <c r="II13" i="91"/>
  <c r="II14" i="91"/>
  <c r="II12" i="91"/>
  <c r="II8" i="91"/>
  <c r="II9" i="91"/>
  <c r="II10" i="91"/>
  <c r="II11" i="91"/>
  <c r="II7" i="91"/>
  <c r="II6" i="91"/>
  <c r="IJ1" i="91"/>
  <c r="IJ5" i="91" l="1"/>
  <c r="IJ8" i="91"/>
  <c r="IJ14" i="91"/>
  <c r="IJ15" i="91"/>
  <c r="IJ12" i="91"/>
  <c r="IJ9" i="91"/>
  <c r="IJ6" i="91"/>
  <c r="IJ13" i="91"/>
  <c r="IJ10" i="91"/>
  <c r="IJ11" i="91"/>
  <c r="IJ7" i="91"/>
  <c r="IK1" i="91"/>
  <c r="IK4" i="91" l="1"/>
  <c r="IK15" i="91"/>
  <c r="IK6" i="91"/>
  <c r="IK10" i="91"/>
  <c r="IK13" i="91"/>
  <c r="IK11" i="91"/>
  <c r="IK8" i="91"/>
  <c r="IK12" i="91"/>
  <c r="IK9" i="91"/>
  <c r="IK7" i="91"/>
  <c r="IK14" i="91"/>
  <c r="IK5" i="91"/>
  <c r="IK3" i="91"/>
  <c r="IK2" i="91"/>
  <c r="IL1" i="91"/>
  <c r="IL5" i="91" l="1"/>
  <c r="IL14" i="91"/>
  <c r="IL8" i="91"/>
  <c r="IL11" i="91"/>
  <c r="IL12" i="91"/>
  <c r="IL15" i="91"/>
  <c r="IL6" i="91"/>
  <c r="IL13" i="91"/>
  <c r="IL10" i="91"/>
  <c r="IL9" i="91"/>
  <c r="IL7" i="91"/>
  <c r="IM1" i="91"/>
  <c r="IM5" i="91" l="1"/>
  <c r="IM9" i="91"/>
  <c r="IM7" i="91"/>
  <c r="IM11" i="91"/>
  <c r="IM10" i="91"/>
  <c r="IM13" i="91"/>
  <c r="IM12" i="91"/>
  <c r="IM15" i="91"/>
  <c r="IM6" i="91"/>
  <c r="IM8" i="91"/>
  <c r="IM14" i="91"/>
  <c r="IN1" i="91"/>
  <c r="IN4" i="91" l="1"/>
  <c r="IN13" i="91"/>
  <c r="IN12" i="91"/>
  <c r="IN10" i="91"/>
  <c r="IN6" i="91"/>
  <c r="IN11" i="91"/>
  <c r="IN15" i="91"/>
  <c r="IN8" i="91"/>
  <c r="IN9" i="91"/>
  <c r="IN7" i="91"/>
  <c r="IN14" i="91"/>
  <c r="IN5" i="91"/>
  <c r="IN3" i="91"/>
  <c r="IO1" i="91"/>
  <c r="IN2" i="91"/>
  <c r="IO5" i="91" l="1"/>
  <c r="IO11" i="91"/>
  <c r="IO15" i="91"/>
  <c r="IO7" i="91"/>
  <c r="IO14" i="91"/>
  <c r="IO6" i="91"/>
  <c r="IO9" i="91"/>
  <c r="IO13" i="91"/>
  <c r="IO10" i="91"/>
  <c r="IO8" i="91"/>
  <c r="IO12" i="91"/>
  <c r="IP1" i="91"/>
  <c r="IP5" i="91" l="1"/>
  <c r="IP14" i="91"/>
  <c r="IP13" i="91"/>
  <c r="IP9" i="91"/>
  <c r="IP10" i="91"/>
  <c r="IP11" i="91"/>
  <c r="IP15" i="91"/>
  <c r="IP6" i="91"/>
  <c r="IP12" i="91"/>
  <c r="IP7" i="91"/>
  <c r="IP8" i="91"/>
  <c r="IQ1" i="91"/>
  <c r="IQ4" i="91" l="1"/>
  <c r="IQ12" i="91"/>
  <c r="IQ11" i="91"/>
  <c r="IQ15" i="91"/>
  <c r="IQ8" i="91"/>
  <c r="IQ14" i="91"/>
  <c r="IQ13" i="91"/>
  <c r="IQ10" i="91"/>
  <c r="IQ9" i="91"/>
  <c r="IQ6" i="91"/>
  <c r="IQ7" i="91"/>
  <c r="IQ5" i="91"/>
  <c r="IQ3" i="91"/>
  <c r="IR1" i="91"/>
  <c r="IQ2" i="91"/>
  <c r="IR5" i="91" l="1"/>
  <c r="IR14" i="91"/>
  <c r="IR12" i="91"/>
  <c r="IR11" i="91"/>
  <c r="IR15" i="91"/>
  <c r="IR13" i="91"/>
  <c r="IR8" i="91"/>
  <c r="IR7" i="91"/>
  <c r="IR9" i="91"/>
  <c r="IR10" i="91"/>
  <c r="IR6" i="91"/>
  <c r="IS1" i="91"/>
  <c r="IS5" i="91" l="1"/>
  <c r="IS14" i="91"/>
  <c r="IS12" i="91"/>
  <c r="IS15" i="91"/>
  <c r="IS13" i="91"/>
  <c r="IS8" i="91"/>
  <c r="IS6" i="91"/>
  <c r="IS9" i="91"/>
  <c r="IS11" i="91"/>
  <c r="IS10" i="91"/>
  <c r="IS7" i="91"/>
  <c r="IT1" i="91"/>
  <c r="IT4" i="91" l="1"/>
  <c r="IT11" i="91"/>
  <c r="IT7" i="91"/>
  <c r="IT9" i="91"/>
  <c r="IT14" i="91"/>
  <c r="IT13" i="91"/>
  <c r="IT8" i="91"/>
  <c r="IT6" i="91"/>
  <c r="IT12" i="91"/>
  <c r="IT10" i="91"/>
  <c r="IT15" i="91"/>
  <c r="IT5" i="91"/>
  <c r="IT3" i="91"/>
  <c r="IT2" i="91"/>
  <c r="IU1" i="91"/>
  <c r="IU5" i="91" l="1"/>
  <c r="IU12" i="91"/>
  <c r="IU11" i="91"/>
  <c r="IU9" i="91"/>
  <c r="IU6" i="91"/>
  <c r="IU13" i="91"/>
  <c r="IU8" i="91"/>
  <c r="IU10" i="91"/>
  <c r="IU7" i="91"/>
  <c r="IU14" i="91"/>
  <c r="IU15" i="91"/>
  <c r="IV1" i="91"/>
  <c r="IV5" i="91" l="1"/>
  <c r="IV7" i="91"/>
  <c r="IV12" i="91"/>
  <c r="IV15" i="91"/>
  <c r="IV13" i="91"/>
  <c r="IV10" i="91"/>
  <c r="IV9" i="91"/>
  <c r="IV14" i="91"/>
  <c r="IV11" i="91"/>
  <c r="IV8" i="91"/>
  <c r="IV6" i="91"/>
  <c r="IW1" i="91"/>
  <c r="IW4" i="91" l="1"/>
  <c r="IW10" i="91"/>
  <c r="IW8" i="91"/>
  <c r="IW11" i="91"/>
  <c r="IW9" i="91"/>
  <c r="IW13" i="91"/>
  <c r="IW12" i="91"/>
  <c r="IW7" i="91"/>
  <c r="IW14" i="91"/>
  <c r="IW15" i="91"/>
  <c r="IW6" i="91"/>
  <c r="IW5" i="91"/>
  <c r="IW3" i="91"/>
  <c r="IX1" i="91"/>
  <c r="IW2" i="91"/>
  <c r="IX5" i="91" l="1"/>
  <c r="IX12" i="91"/>
  <c r="IX15" i="91"/>
  <c r="IX6" i="91"/>
  <c r="IX7" i="91"/>
  <c r="IX13" i="91"/>
  <c r="IX10" i="91"/>
  <c r="IX9" i="91"/>
  <c r="IX8" i="91"/>
  <c r="IX14" i="91"/>
  <c r="IX11" i="91"/>
  <c r="IY1" i="91"/>
  <c r="IY5" i="91" l="1"/>
  <c r="IY14" i="91"/>
  <c r="IY15" i="91"/>
  <c r="IY12" i="91"/>
  <c r="IY7" i="91"/>
  <c r="IY11" i="91"/>
  <c r="IY10" i="91"/>
  <c r="IY9" i="91"/>
  <c r="IY8" i="91"/>
  <c r="IY6" i="91"/>
  <c r="IY13" i="91"/>
  <c r="IZ1" i="91"/>
  <c r="IZ4" i="91" l="1"/>
  <c r="IZ13" i="91"/>
  <c r="IZ8" i="91"/>
  <c r="IZ14" i="91"/>
  <c r="IZ12" i="91"/>
  <c r="IZ11" i="91"/>
  <c r="IZ10" i="91"/>
  <c r="IZ9" i="91"/>
  <c r="IZ7" i="91"/>
  <c r="IZ6" i="91"/>
  <c r="IZ15" i="91"/>
  <c r="IZ5" i="91"/>
  <c r="IZ3" i="91"/>
  <c r="JA1" i="91"/>
  <c r="IZ2" i="91"/>
  <c r="JA5" i="91" l="1"/>
  <c r="JA15" i="91"/>
  <c r="JA14" i="91"/>
  <c r="JA10" i="91"/>
  <c r="JA9" i="91"/>
  <c r="JA12" i="91"/>
  <c r="JA7" i="91"/>
  <c r="JA6" i="91"/>
  <c r="JA8" i="91"/>
  <c r="JA11" i="91"/>
  <c r="JA13" i="91"/>
  <c r="JB1" i="91"/>
  <c r="JB5" i="91" l="1"/>
  <c r="JB15" i="91"/>
  <c r="JB13" i="91"/>
  <c r="JB12" i="91"/>
  <c r="JB14" i="91"/>
  <c r="JB7" i="91"/>
  <c r="JB9" i="91"/>
  <c r="JB10" i="91"/>
  <c r="JB8" i="91"/>
  <c r="JB11" i="91"/>
  <c r="JB6" i="91"/>
  <c r="JC1" i="91"/>
  <c r="JC4" i="91" l="1"/>
  <c r="JC15" i="91"/>
  <c r="JC13" i="91"/>
  <c r="JC11" i="91"/>
  <c r="JC12" i="91"/>
  <c r="JC9" i="91"/>
  <c r="JC14" i="91"/>
  <c r="JC7" i="91"/>
  <c r="JC6" i="91"/>
  <c r="JC10" i="91"/>
  <c r="JC8" i="91"/>
  <c r="JC5" i="91"/>
  <c r="JC3" i="91"/>
  <c r="JD1" i="91"/>
  <c r="JC2" i="91"/>
  <c r="JD5" i="91" l="1"/>
  <c r="JD13" i="91"/>
  <c r="JD12" i="91"/>
  <c r="JD14" i="91"/>
  <c r="JD7" i="91"/>
  <c r="JD10" i="91"/>
  <c r="JD9" i="91"/>
  <c r="JD11" i="91"/>
  <c r="JD8" i="91"/>
  <c r="JD6" i="91"/>
  <c r="JD15" i="91"/>
  <c r="JE1" i="91"/>
  <c r="JE5" i="91" l="1"/>
  <c r="JE14" i="91"/>
  <c r="JE12" i="91"/>
  <c r="JE6" i="91"/>
  <c r="JE8" i="91"/>
  <c r="JE10" i="91"/>
  <c r="JE7" i="91"/>
  <c r="JE13" i="91"/>
  <c r="JE11" i="91"/>
  <c r="JE9" i="91"/>
  <c r="JE15" i="91"/>
  <c r="JF1" i="91"/>
  <c r="JF4" i="91" l="1"/>
  <c r="JF14" i="91"/>
  <c r="JF10" i="91"/>
  <c r="JF7" i="91"/>
  <c r="JF13" i="91"/>
  <c r="JF11" i="91"/>
  <c r="JF12" i="91"/>
  <c r="JF9" i="91"/>
  <c r="JF8" i="91"/>
  <c r="JF6" i="91"/>
  <c r="JF15" i="91"/>
  <c r="JF5" i="91"/>
  <c r="JF3" i="91"/>
  <c r="JG1" i="91"/>
  <c r="JF2" i="91"/>
  <c r="JG5" i="91" l="1"/>
  <c r="JG9" i="91"/>
  <c r="JG7" i="91"/>
  <c r="JG8" i="91"/>
  <c r="JG13" i="91"/>
  <c r="JG14" i="91"/>
  <c r="JG12" i="91"/>
  <c r="JG10" i="91"/>
  <c r="JG15" i="91"/>
  <c r="JG11" i="91"/>
  <c r="JG6" i="91"/>
  <c r="JH1" i="91"/>
  <c r="JH5" i="91" l="1"/>
  <c r="JH15" i="91"/>
  <c r="JH13" i="91"/>
  <c r="JH10" i="91"/>
  <c r="JH14" i="91"/>
  <c r="JH11" i="91"/>
  <c r="JH7" i="91"/>
  <c r="JH12" i="91"/>
  <c r="JH6" i="91"/>
  <c r="JH8" i="91"/>
  <c r="JH9" i="91"/>
  <c r="JI1" i="91"/>
  <c r="JI4" i="91" l="1"/>
  <c r="JI15" i="91"/>
  <c r="JI13" i="91"/>
  <c r="JI8" i="91"/>
  <c r="JI6" i="91"/>
  <c r="JI10" i="91"/>
  <c r="JI12" i="91"/>
  <c r="JI14" i="91"/>
  <c r="JI11" i="91"/>
  <c r="JI7" i="91"/>
  <c r="JI9" i="91"/>
  <c r="JI5" i="91"/>
  <c r="JI3" i="91"/>
  <c r="JJ1" i="91"/>
  <c r="JI2" i="91"/>
  <c r="JJ5" i="91" l="1"/>
  <c r="JJ11" i="91"/>
  <c r="JJ14" i="91"/>
  <c r="JJ7" i="91"/>
  <c r="JJ8" i="91"/>
  <c r="JJ6" i="91"/>
  <c r="JJ15" i="91"/>
  <c r="JJ13" i="91"/>
  <c r="JJ10" i="91"/>
  <c r="JJ12" i="91"/>
  <c r="JJ9" i="91"/>
  <c r="JK1" i="91"/>
  <c r="JK5" i="91" l="1"/>
  <c r="JK13" i="91"/>
  <c r="JK14" i="91"/>
  <c r="JK11" i="91"/>
  <c r="JK9" i="91"/>
  <c r="JK15" i="91"/>
  <c r="JK8" i="91"/>
  <c r="JK6" i="91"/>
  <c r="JK7" i="91"/>
  <c r="JK12" i="91"/>
  <c r="JK10" i="91"/>
  <c r="JL1" i="91"/>
  <c r="JL4" i="91" l="1"/>
  <c r="JL14" i="91"/>
  <c r="JL12" i="91"/>
  <c r="JL11" i="91"/>
  <c r="JL13" i="91"/>
  <c r="JL10" i="91"/>
  <c r="JL15" i="91"/>
  <c r="JL6" i="91"/>
  <c r="JL7" i="91"/>
  <c r="JL9" i="91"/>
  <c r="JL8" i="91"/>
  <c r="JL5" i="91"/>
  <c r="JL3" i="91"/>
  <c r="JL2" i="91"/>
  <c r="JM1" i="91"/>
  <c r="JM5" i="91" l="1"/>
  <c r="JM14" i="91"/>
  <c r="JM12" i="91"/>
  <c r="JM13" i="91"/>
  <c r="JM11" i="91"/>
  <c r="JM9" i="91"/>
  <c r="JM10" i="91"/>
  <c r="JM15" i="91"/>
  <c r="JM7" i="91"/>
  <c r="JM6" i="91"/>
  <c r="JM8" i="91"/>
  <c r="JN1" i="91"/>
  <c r="JN5" i="91" l="1"/>
  <c r="JN15" i="91"/>
  <c r="JN11" i="91"/>
  <c r="JN10" i="91"/>
  <c r="JN9" i="91"/>
  <c r="JN8" i="91"/>
  <c r="JN13" i="91"/>
  <c r="JN14" i="91"/>
  <c r="JN12" i="91"/>
  <c r="JN7" i="91"/>
  <c r="JN6" i="91"/>
  <c r="JO1" i="91"/>
  <c r="JO4" i="91" l="1"/>
  <c r="JO15" i="91"/>
  <c r="JO13" i="91"/>
  <c r="JO14" i="91"/>
  <c r="JO7" i="91"/>
  <c r="JO8" i="91"/>
  <c r="JO6" i="91"/>
  <c r="JO9" i="91"/>
  <c r="JO12" i="91"/>
  <c r="JO11" i="91"/>
  <c r="JO10" i="91"/>
  <c r="JO5" i="91"/>
  <c r="JO3" i="91"/>
  <c r="JP1" i="91"/>
  <c r="JO2" i="91"/>
  <c r="JP5" i="91" l="1"/>
  <c r="JP13" i="91"/>
  <c r="JP9" i="91"/>
  <c r="JP12" i="91"/>
  <c r="JP15" i="91"/>
  <c r="JP11" i="91"/>
  <c r="JP14" i="91"/>
  <c r="JP8" i="91"/>
  <c r="JP7" i="91"/>
  <c r="JP6" i="91"/>
  <c r="JP10" i="91"/>
  <c r="JQ1" i="91"/>
  <c r="JQ5" i="91" l="1"/>
  <c r="JQ10" i="91"/>
  <c r="JQ8" i="91"/>
  <c r="JQ11" i="91"/>
  <c r="JQ7" i="91"/>
  <c r="JQ12" i="91"/>
  <c r="JQ6" i="91"/>
  <c r="JQ15" i="91"/>
  <c r="JQ13" i="91"/>
  <c r="JQ9" i="91"/>
  <c r="JQ14" i="91"/>
  <c r="JR1" i="91"/>
  <c r="JR4" i="91" l="1"/>
  <c r="JR12" i="91"/>
  <c r="JR13" i="91"/>
  <c r="JR9" i="91"/>
  <c r="JR11" i="91"/>
  <c r="JR6" i="91"/>
  <c r="JR8" i="91"/>
  <c r="JR14" i="91"/>
  <c r="JR7" i="91"/>
  <c r="JR15" i="91"/>
  <c r="JR10" i="91"/>
  <c r="JR5" i="91"/>
  <c r="JR3" i="91"/>
  <c r="JS1" i="91"/>
  <c r="JR2" i="91"/>
  <c r="JS5" i="91" l="1"/>
  <c r="JS15" i="91"/>
  <c r="JS9" i="91"/>
  <c r="JS13" i="91"/>
  <c r="JS11" i="91"/>
  <c r="JS6" i="91"/>
  <c r="JS7" i="91"/>
  <c r="JS8" i="91"/>
  <c r="JS14" i="91"/>
  <c r="JS12" i="91"/>
  <c r="JS10" i="91"/>
  <c r="JT1" i="91"/>
  <c r="JT5" i="91" l="1"/>
  <c r="JT11" i="91"/>
  <c r="JT15" i="91"/>
  <c r="JT14" i="91"/>
  <c r="JT9" i="91"/>
  <c r="JT6" i="91"/>
  <c r="JT12" i="91"/>
  <c r="JT7" i="91"/>
  <c r="JT10" i="91"/>
  <c r="JT13" i="91"/>
  <c r="JT8" i="91"/>
  <c r="JU1" i="91"/>
  <c r="JU4" i="91" l="1"/>
  <c r="JU12" i="91"/>
  <c r="JU8" i="91"/>
  <c r="JU15" i="91"/>
  <c r="JU14" i="91"/>
  <c r="JU6" i="91"/>
  <c r="JU11" i="91"/>
  <c r="JU7" i="91"/>
  <c r="JU13" i="91"/>
  <c r="JU10" i="91"/>
  <c r="JU9" i="91"/>
  <c r="JU5" i="91"/>
  <c r="JU3" i="91"/>
  <c r="JV1" i="91"/>
  <c r="JU2" i="91"/>
  <c r="JV5" i="91" l="1"/>
  <c r="JV15" i="91"/>
  <c r="JV13" i="91"/>
  <c r="JV14" i="91"/>
  <c r="JV11" i="91"/>
  <c r="JV10" i="91"/>
  <c r="JV7" i="91"/>
  <c r="JV12" i="91"/>
  <c r="JV6" i="91"/>
  <c r="JV8" i="91"/>
  <c r="JV9" i="91"/>
  <c r="JW1" i="91"/>
  <c r="JW5" i="91" l="1"/>
  <c r="JW15" i="91"/>
  <c r="JW13" i="91"/>
  <c r="JW12" i="91"/>
  <c r="JW7" i="91"/>
  <c r="JW8" i="91"/>
  <c r="JW11" i="91"/>
  <c r="JW10" i="91"/>
  <c r="JW6" i="91"/>
  <c r="JW14" i="91"/>
  <c r="JW9" i="91"/>
  <c r="JX1" i="91"/>
  <c r="JX4" i="91" l="1"/>
  <c r="JX15" i="91"/>
  <c r="JX11" i="91"/>
  <c r="JX12" i="91"/>
  <c r="JX8" i="91"/>
  <c r="JX7" i="91"/>
  <c r="JX14" i="91"/>
  <c r="JX13" i="91"/>
  <c r="JX10" i="91"/>
  <c r="JX9" i="91"/>
  <c r="JX6" i="91"/>
  <c r="JX5" i="91"/>
  <c r="JX3" i="91"/>
  <c r="JY1" i="91"/>
  <c r="JX2" i="91"/>
  <c r="JY5" i="91" l="1"/>
  <c r="JY12" i="91"/>
  <c r="JY6" i="91"/>
  <c r="JY9" i="91"/>
  <c r="JY8" i="91"/>
  <c r="JY14" i="91"/>
  <c r="JY11" i="91"/>
  <c r="JY7" i="91"/>
  <c r="JY10" i="91"/>
  <c r="JY15" i="91"/>
  <c r="JY13" i="91"/>
  <c r="JZ1" i="91"/>
  <c r="JZ5" i="91" l="1"/>
  <c r="JZ8" i="91"/>
  <c r="JZ15" i="91"/>
  <c r="JZ12" i="91"/>
  <c r="JZ10" i="91"/>
  <c r="JZ13" i="91"/>
  <c r="JZ11" i="91"/>
  <c r="JZ14" i="91"/>
  <c r="JZ7" i="91"/>
  <c r="JZ9" i="91"/>
  <c r="JZ6" i="91"/>
  <c r="KA1" i="91"/>
  <c r="KA4" i="91" l="1"/>
  <c r="KA14" i="91"/>
  <c r="KA12" i="91"/>
  <c r="KA9" i="91"/>
  <c r="KA7" i="91"/>
  <c r="KA13" i="91"/>
  <c r="KA10" i="91"/>
  <c r="KA15" i="91"/>
  <c r="KA11" i="91"/>
  <c r="KA8" i="91"/>
  <c r="KA6" i="91"/>
  <c r="KA5" i="91"/>
  <c r="KA3" i="91"/>
  <c r="KB1" i="91"/>
  <c r="KA2" i="91"/>
  <c r="KB5" i="91" l="1"/>
  <c r="KB13" i="91"/>
  <c r="KB12" i="91"/>
  <c r="KB8" i="91"/>
  <c r="KB15" i="91"/>
  <c r="KB14" i="91"/>
  <c r="KB9" i="91"/>
  <c r="KB6" i="91"/>
  <c r="KB7" i="91"/>
  <c r="KB10" i="91"/>
  <c r="KB11" i="91"/>
  <c r="KC1" i="91"/>
  <c r="KC5" i="91" l="1"/>
  <c r="KC10" i="91"/>
  <c r="KC14" i="91"/>
  <c r="KC7" i="91"/>
  <c r="KC12" i="91"/>
  <c r="KC11" i="91"/>
  <c r="KC13" i="91"/>
  <c r="KC9" i="91"/>
  <c r="KC8" i="91"/>
  <c r="KC15" i="91"/>
  <c r="KC6" i="91"/>
  <c r="KD1" i="91"/>
  <c r="KD4" i="91" l="1"/>
  <c r="KD12" i="91"/>
  <c r="KD15" i="91"/>
  <c r="KD11" i="91"/>
  <c r="KD10" i="91"/>
  <c r="KD6" i="91"/>
  <c r="KD14" i="91"/>
  <c r="KD9" i="91"/>
  <c r="KD8" i="91"/>
  <c r="KD13" i="91"/>
  <c r="KD7" i="91"/>
  <c r="KD5" i="91"/>
  <c r="KD3" i="91"/>
  <c r="KD2" i="91"/>
  <c r="KE1" i="91"/>
  <c r="KE5" i="91" l="1"/>
  <c r="KE15" i="91"/>
  <c r="KE11" i="91"/>
  <c r="KE14" i="91"/>
  <c r="KE7" i="91"/>
  <c r="KE10" i="91"/>
  <c r="KE13" i="91"/>
  <c r="KE6" i="91"/>
  <c r="KE8" i="91"/>
  <c r="KE12" i="91"/>
  <c r="KE9" i="91"/>
  <c r="KF1" i="91"/>
  <c r="KF5" i="91" l="1"/>
  <c r="KF14" i="91"/>
  <c r="KF12" i="91"/>
  <c r="KF11" i="91"/>
  <c r="KF9" i="91"/>
  <c r="KF7" i="91"/>
  <c r="KF6" i="91"/>
  <c r="KF13" i="91"/>
  <c r="KF10" i="91"/>
  <c r="KF15" i="91"/>
  <c r="KF8" i="91"/>
  <c r="KG1" i="91"/>
  <c r="KG4" i="91" l="1"/>
  <c r="KG14" i="91"/>
  <c r="KG12" i="91"/>
  <c r="KG13" i="91"/>
  <c r="KG11" i="91"/>
  <c r="KG8" i="91"/>
  <c r="KG15" i="91"/>
  <c r="KG7" i="91"/>
  <c r="KG9" i="91"/>
  <c r="KG6" i="91"/>
  <c r="KG10" i="91"/>
  <c r="KG5" i="91"/>
  <c r="KG3" i="91"/>
  <c r="KH1" i="91"/>
  <c r="KG2" i="91"/>
  <c r="KH5" i="91" l="1"/>
  <c r="KH13" i="91"/>
  <c r="KH15" i="91"/>
  <c r="KH8" i="91"/>
  <c r="KH11" i="91"/>
  <c r="KH7" i="91"/>
  <c r="KH12" i="91"/>
  <c r="KH14" i="91"/>
  <c r="KH6" i="91"/>
  <c r="KH10" i="91"/>
  <c r="KH9" i="91"/>
  <c r="KI1" i="91"/>
  <c r="KI5" i="91" l="1"/>
  <c r="KI11" i="91"/>
  <c r="KI14" i="91"/>
  <c r="KI13" i="91"/>
  <c r="KI7" i="91"/>
  <c r="KI15" i="91"/>
  <c r="KI10" i="91"/>
  <c r="KI12" i="91"/>
  <c r="KI8" i="91"/>
  <c r="KI6" i="91"/>
  <c r="KI9" i="91"/>
  <c r="KJ1" i="91"/>
  <c r="KJ4" i="91" l="1"/>
  <c r="KJ7" i="91"/>
  <c r="KJ13" i="91"/>
  <c r="KJ10" i="91"/>
  <c r="KJ15" i="91"/>
  <c r="KJ11" i="91"/>
  <c r="KJ9" i="91"/>
  <c r="KJ12" i="91"/>
  <c r="KJ14" i="91"/>
  <c r="KJ8" i="91"/>
  <c r="KJ6" i="91"/>
  <c r="KJ5" i="91"/>
  <c r="KJ3" i="91"/>
  <c r="KK1" i="91"/>
  <c r="KJ2" i="91"/>
  <c r="KK5" i="91" l="1"/>
  <c r="KK15" i="91"/>
  <c r="KK13" i="91"/>
  <c r="KK10" i="91"/>
  <c r="KK8" i="91"/>
  <c r="KK14" i="91"/>
  <c r="KK9" i="91"/>
  <c r="KK12" i="91"/>
  <c r="KK6" i="91"/>
  <c r="KK11" i="91"/>
  <c r="KK7" i="91"/>
  <c r="KL1" i="91"/>
  <c r="KL5" i="91" l="1"/>
  <c r="KL14" i="91"/>
  <c r="KL7" i="91"/>
  <c r="KL13" i="91"/>
  <c r="KL6" i="91"/>
  <c r="KL11" i="91"/>
  <c r="KL10" i="91"/>
  <c r="KL12" i="91"/>
  <c r="KL8" i="91"/>
  <c r="KL9" i="91"/>
  <c r="KL15" i="91"/>
  <c r="KM1" i="91"/>
  <c r="KM4" i="91" l="1"/>
  <c r="KM14" i="91"/>
  <c r="KM9" i="91"/>
  <c r="KM11" i="91"/>
  <c r="KM12" i="91"/>
  <c r="KM10" i="91"/>
  <c r="KM8" i="91"/>
  <c r="KM13" i="91"/>
  <c r="KM7" i="91"/>
  <c r="KM6" i="91"/>
  <c r="KM15" i="91"/>
  <c r="KM5" i="91"/>
  <c r="KM3" i="91"/>
  <c r="KM2" i="91"/>
  <c r="KN1" i="91"/>
  <c r="KN5" i="91" l="1"/>
  <c r="KN15" i="91"/>
  <c r="KN11" i="91"/>
  <c r="KN6" i="91"/>
  <c r="KN8" i="91"/>
  <c r="KN10" i="91"/>
  <c r="KN14" i="91"/>
  <c r="KN9" i="91"/>
  <c r="KN7" i="91"/>
  <c r="KN13" i="91"/>
  <c r="KN12" i="91"/>
  <c r="KO1" i="91"/>
  <c r="KO5" i="91" l="1"/>
  <c r="KO12" i="91"/>
  <c r="KO14" i="91"/>
  <c r="KO13" i="91"/>
  <c r="KO8" i="91"/>
  <c r="KO9" i="91"/>
  <c r="KO10" i="91"/>
  <c r="KO7" i="91"/>
  <c r="KO6" i="91"/>
  <c r="KO11" i="91"/>
  <c r="KO15" i="91"/>
  <c r="KP1" i="91"/>
  <c r="KP4" i="91" l="1"/>
  <c r="KP15" i="91"/>
  <c r="KP13" i="91"/>
  <c r="KP8" i="91"/>
  <c r="KP11" i="91"/>
  <c r="KP14" i="91"/>
  <c r="KP9" i="91"/>
  <c r="KP7" i="91"/>
  <c r="KP10" i="91"/>
  <c r="KP12" i="91"/>
  <c r="KP6" i="91"/>
  <c r="KP5" i="91"/>
  <c r="KP3" i="91"/>
  <c r="KQ1" i="91"/>
  <c r="KP2" i="91"/>
  <c r="KQ5" i="91" l="1"/>
  <c r="KQ15" i="91"/>
  <c r="KQ13" i="91"/>
  <c r="KQ11" i="91"/>
  <c r="KQ10" i="91"/>
  <c r="KQ8" i="91"/>
  <c r="KQ9" i="91"/>
  <c r="KQ14" i="91"/>
  <c r="KQ7" i="91"/>
  <c r="KQ6" i="91"/>
  <c r="KQ12" i="91"/>
  <c r="KR1" i="91"/>
  <c r="KR5" i="91" l="1"/>
  <c r="KR12" i="91"/>
  <c r="KR9" i="91"/>
  <c r="KR14" i="91"/>
  <c r="KR8" i="91"/>
  <c r="KR10" i="91"/>
  <c r="KR15" i="91"/>
  <c r="KR6" i="91"/>
  <c r="KR13" i="91"/>
  <c r="KR11" i="91"/>
  <c r="KR7" i="91"/>
  <c r="KS1" i="91"/>
  <c r="KS4" i="91" l="1"/>
  <c r="KS14" i="91"/>
  <c r="KS11" i="91"/>
  <c r="KS6" i="91"/>
  <c r="KS13" i="91"/>
  <c r="KS12" i="91"/>
  <c r="KS9" i="91"/>
  <c r="KS10" i="91"/>
  <c r="KS15" i="91"/>
  <c r="KS8" i="91"/>
  <c r="KS7" i="91"/>
  <c r="KS5" i="91"/>
  <c r="KS3" i="91"/>
  <c r="KT1" i="91"/>
  <c r="KS2" i="91"/>
  <c r="KT5" i="91" l="1"/>
  <c r="KT11" i="91"/>
  <c r="KT14" i="91"/>
  <c r="KT7" i="91"/>
  <c r="KT15" i="91"/>
  <c r="KT9" i="91"/>
  <c r="KT13" i="91"/>
  <c r="KT8" i="91"/>
  <c r="KT10" i="91"/>
  <c r="KT12" i="91"/>
  <c r="KT6" i="91"/>
  <c r="KU1" i="91"/>
  <c r="KU5" i="91" l="1"/>
  <c r="KU9" i="91"/>
  <c r="KU7" i="91"/>
  <c r="KU15" i="91"/>
  <c r="KU13" i="91"/>
  <c r="KU8" i="91"/>
  <c r="KU11" i="91"/>
  <c r="KU14" i="91"/>
  <c r="KU12" i="91"/>
  <c r="KU6" i="91"/>
  <c r="KU10" i="91"/>
  <c r="KV1" i="91"/>
  <c r="KV4" i="91" l="1"/>
  <c r="KV12" i="91"/>
  <c r="KV11" i="91"/>
  <c r="KV10" i="91"/>
  <c r="KV13" i="91"/>
  <c r="KV7" i="91"/>
  <c r="KV15" i="91"/>
  <c r="KV9" i="91"/>
  <c r="KV6" i="91"/>
  <c r="KV14" i="91"/>
  <c r="KV8" i="91"/>
  <c r="KV5" i="91"/>
  <c r="KV3" i="91"/>
  <c r="KW1" i="91"/>
  <c r="KV2" i="91"/>
  <c r="KW5" i="91" l="1"/>
  <c r="KW14" i="91"/>
  <c r="KW12" i="91"/>
  <c r="KW8" i="91"/>
  <c r="KW15" i="91"/>
  <c r="KW13" i="91"/>
  <c r="KW6" i="91"/>
  <c r="KW9" i="91"/>
  <c r="KW10" i="91"/>
  <c r="KW11" i="91"/>
  <c r="KW7" i="91"/>
  <c r="KX1" i="91"/>
  <c r="KX5" i="91" l="1"/>
  <c r="KX13" i="91"/>
  <c r="KX12" i="91"/>
  <c r="KX10" i="91"/>
  <c r="KX15" i="91"/>
  <c r="KX9" i="91"/>
  <c r="KX6" i="91"/>
  <c r="KX8" i="91"/>
  <c r="KX7" i="91"/>
  <c r="KX11" i="91"/>
  <c r="KX14" i="91"/>
  <c r="KY1" i="91"/>
  <c r="KY4" i="91" l="1"/>
  <c r="KY12" i="91"/>
  <c r="KY13" i="91"/>
  <c r="KY15" i="91"/>
  <c r="KY6" i="91"/>
  <c r="KY10" i="91"/>
  <c r="KY7" i="91"/>
  <c r="KY11" i="91"/>
  <c r="KY9" i="91"/>
  <c r="KY14" i="91"/>
  <c r="KY8" i="91"/>
  <c r="KY5" i="91"/>
  <c r="KY3" i="91"/>
  <c r="KZ1" i="91"/>
  <c r="KY2" i="91"/>
  <c r="KZ5" i="91" l="1"/>
  <c r="KZ14" i="91"/>
  <c r="KZ12" i="91"/>
  <c r="KZ11" i="91"/>
  <c r="KZ7" i="91"/>
  <c r="KZ9" i="91"/>
  <c r="KZ13" i="91"/>
  <c r="KZ6" i="91"/>
  <c r="KZ15" i="91"/>
  <c r="KZ10" i="91"/>
  <c r="KZ8" i="91"/>
  <c r="LA1" i="91"/>
  <c r="LA5" i="91" l="1"/>
  <c r="LA14" i="91"/>
  <c r="LA12" i="91"/>
  <c r="LA11" i="91"/>
  <c r="LA13" i="91"/>
  <c r="LA15" i="91"/>
  <c r="LA9" i="91"/>
  <c r="LA6" i="91"/>
  <c r="LA8" i="91"/>
  <c r="LA10" i="91"/>
  <c r="LA7" i="91"/>
  <c r="LB1" i="91"/>
  <c r="LB4" i="91" l="1"/>
  <c r="LB15" i="91"/>
  <c r="LB14" i="91"/>
  <c r="LB7" i="91"/>
  <c r="LB6" i="91"/>
  <c r="LB10" i="91"/>
  <c r="LB12" i="91"/>
  <c r="LB8" i="91"/>
  <c r="LB11" i="91"/>
  <c r="LB9" i="91"/>
  <c r="LB13" i="91"/>
  <c r="LB5" i="91"/>
  <c r="LB3" i="91"/>
  <c r="LC1" i="91"/>
  <c r="LB2" i="91"/>
  <c r="LC5" i="91" l="1"/>
  <c r="LC12" i="91"/>
  <c r="LC10" i="91"/>
  <c r="LC8" i="91"/>
  <c r="LC7" i="91"/>
  <c r="LC6" i="91"/>
  <c r="LC15" i="91"/>
  <c r="LC9" i="91"/>
  <c r="LC11" i="91"/>
  <c r="LC13" i="91"/>
  <c r="LC14" i="91"/>
  <c r="LD1" i="91"/>
  <c r="LD5" i="91" l="1"/>
  <c r="LD15" i="91"/>
  <c r="LD14" i="91"/>
  <c r="LD7" i="91"/>
  <c r="LD12" i="91"/>
  <c r="LD6" i="91"/>
  <c r="LD11" i="91"/>
  <c r="LD13" i="91"/>
  <c r="LD9" i="91"/>
  <c r="LD8" i="91"/>
  <c r="LD10" i="91"/>
  <c r="LE1" i="91"/>
  <c r="LE4" i="91" l="1"/>
  <c r="LE13" i="91"/>
  <c r="LE10" i="91"/>
  <c r="LE8" i="91"/>
  <c r="LE12" i="91"/>
  <c r="LE7" i="91"/>
  <c r="LE14" i="91"/>
  <c r="LE11" i="91"/>
  <c r="LE15" i="91"/>
  <c r="LE9" i="91"/>
  <c r="LE6" i="91"/>
  <c r="LE5" i="91"/>
  <c r="LE3" i="91"/>
  <c r="LE2" i="91"/>
  <c r="LF1" i="91"/>
  <c r="LF5" i="91" l="1"/>
  <c r="LF14" i="91"/>
  <c r="LF11" i="91"/>
  <c r="LF15" i="91"/>
  <c r="LF12" i="91"/>
  <c r="LF9" i="91"/>
  <c r="LF6" i="91"/>
  <c r="LF8" i="91"/>
  <c r="LF13" i="91"/>
  <c r="LF10" i="91"/>
  <c r="LF7" i="91"/>
  <c r="LG1" i="91"/>
  <c r="LG5" i="91" l="1"/>
  <c r="LG15" i="91"/>
  <c r="LG13" i="91"/>
  <c r="LG7" i="91"/>
  <c r="LG14" i="91"/>
  <c r="LG8" i="91"/>
  <c r="LG6" i="91"/>
  <c r="LG10" i="91"/>
  <c r="LG12" i="91"/>
  <c r="LG11" i="91"/>
  <c r="LG9" i="91"/>
  <c r="LH1" i="91"/>
  <c r="LH4" i="91" l="1"/>
  <c r="LH13" i="91"/>
  <c r="LH15" i="91"/>
  <c r="LH9" i="91"/>
  <c r="LH6" i="91"/>
  <c r="LH11" i="91"/>
  <c r="LH12" i="91"/>
  <c r="LH10" i="91"/>
  <c r="LH8" i="91"/>
  <c r="LH7" i="91"/>
  <c r="LH14" i="91"/>
  <c r="LH5" i="91"/>
  <c r="LH3" i="91"/>
  <c r="LI1" i="91"/>
  <c r="LH2" i="91"/>
  <c r="LI5" i="91" l="1"/>
  <c r="LI14" i="91"/>
  <c r="LI10" i="91"/>
  <c r="LI11" i="91"/>
  <c r="LI13" i="91"/>
  <c r="LI9" i="91"/>
  <c r="LI6" i="91"/>
  <c r="LI12" i="91"/>
  <c r="LI8" i="91"/>
  <c r="LI7" i="91"/>
  <c r="LI15" i="91"/>
  <c r="LJ1" i="91"/>
  <c r="LJ5" i="91" l="1"/>
  <c r="LJ15" i="91"/>
  <c r="LJ13" i="91"/>
  <c r="LJ11" i="91"/>
  <c r="LJ6" i="91"/>
  <c r="LJ12" i="91"/>
  <c r="LJ7" i="91"/>
  <c r="LJ8" i="91"/>
  <c r="LJ10" i="91"/>
  <c r="LJ9" i="91"/>
  <c r="LJ14" i="91"/>
  <c r="LK1" i="91"/>
  <c r="LK4" i="91" l="1"/>
  <c r="LK15" i="91"/>
  <c r="LK13" i="91"/>
  <c r="LK6" i="91"/>
  <c r="LK14" i="91"/>
  <c r="LK8" i="91"/>
  <c r="LK10" i="91"/>
  <c r="LK12" i="91"/>
  <c r="LK7" i="91"/>
  <c r="LK9" i="91"/>
  <c r="LK11" i="91"/>
  <c r="LK5" i="91"/>
  <c r="LK3" i="91"/>
  <c r="LL1" i="91"/>
  <c r="LK2" i="91"/>
  <c r="LL5" i="91" l="1"/>
  <c r="LL12" i="91"/>
  <c r="LL14" i="91"/>
  <c r="LL11" i="91"/>
  <c r="LL10" i="91"/>
  <c r="LL15" i="91"/>
  <c r="LL7" i="91"/>
  <c r="LL13" i="91"/>
  <c r="LL9" i="91"/>
  <c r="LL8" i="91"/>
  <c r="LL6" i="91"/>
  <c r="LM1" i="91"/>
  <c r="LM5" i="91" l="1"/>
  <c r="LM6" i="91"/>
  <c r="LM11" i="91"/>
  <c r="LM8" i="91"/>
  <c r="LM12" i="91"/>
  <c r="LM7" i="91"/>
  <c r="LM15" i="91"/>
  <c r="LM9" i="91"/>
  <c r="LM10" i="91"/>
  <c r="LM13" i="91"/>
  <c r="LM14" i="91"/>
  <c r="LN1" i="91"/>
  <c r="LN4" i="91" l="1"/>
  <c r="LN14" i="91"/>
  <c r="LN11" i="91"/>
  <c r="LN13" i="91"/>
  <c r="LN15" i="91"/>
  <c r="LN9" i="91"/>
  <c r="LN12" i="91"/>
  <c r="LN10" i="91"/>
  <c r="LN8" i="91"/>
  <c r="LN7" i="91"/>
  <c r="LN6" i="91"/>
  <c r="LN5" i="91"/>
  <c r="LN3" i="91"/>
  <c r="LN2" i="91"/>
  <c r="LO1" i="91"/>
  <c r="LO5" i="91" l="1"/>
  <c r="LO9" i="91"/>
  <c r="LO7" i="91"/>
  <c r="LO11" i="91"/>
  <c r="LO15" i="91"/>
  <c r="LO13" i="91"/>
  <c r="LO8" i="91"/>
  <c r="LO10" i="91"/>
  <c r="LO12" i="91"/>
  <c r="LO14" i="91"/>
  <c r="LO6" i="91"/>
  <c r="LP1" i="91"/>
  <c r="LP5" i="91" l="1"/>
  <c r="LP14" i="91"/>
  <c r="LP8" i="91"/>
  <c r="LP11" i="91"/>
  <c r="LP9" i="91"/>
  <c r="LP10" i="91"/>
  <c r="LP12" i="91"/>
  <c r="LP7" i="91"/>
  <c r="LP15" i="91"/>
  <c r="LP13" i="91"/>
  <c r="LP6" i="91"/>
  <c r="LQ1" i="91"/>
  <c r="LQ4" i="91" l="1"/>
  <c r="LQ14" i="91"/>
  <c r="LQ10" i="91"/>
  <c r="LQ11" i="91"/>
  <c r="LQ9" i="91"/>
  <c r="LQ15" i="91"/>
  <c r="LQ12" i="91"/>
  <c r="LQ13" i="91"/>
  <c r="LQ7" i="91"/>
  <c r="LQ8" i="91"/>
  <c r="LQ6" i="91"/>
  <c r="LQ5" i="91"/>
  <c r="LQ3" i="91"/>
  <c r="LR1" i="91"/>
  <c r="LQ2" i="91"/>
  <c r="LR5" i="91" l="1"/>
  <c r="LR15" i="91"/>
  <c r="LR8" i="91"/>
  <c r="LR13" i="91"/>
  <c r="LR11" i="91"/>
  <c r="LR12" i="91"/>
  <c r="LR10" i="91"/>
  <c r="LR9" i="91"/>
  <c r="LR7" i="91"/>
  <c r="LR14" i="91"/>
  <c r="LR6" i="91"/>
  <c r="LS1" i="91"/>
  <c r="LS5" i="91" l="1"/>
  <c r="LS14" i="91"/>
  <c r="LS12" i="91"/>
  <c r="LS10" i="91"/>
  <c r="LS7" i="91"/>
  <c r="LS13" i="91"/>
  <c r="LS15" i="91"/>
  <c r="LS9" i="91"/>
  <c r="LS8" i="91"/>
  <c r="LS6" i="91"/>
  <c r="LS11" i="91"/>
  <c r="LT1" i="91"/>
  <c r="LT4" i="91" l="1"/>
  <c r="LT14" i="91"/>
  <c r="LT12" i="91"/>
  <c r="LT13" i="91"/>
  <c r="LT11" i="91"/>
  <c r="LT7" i="91"/>
  <c r="LT10" i="91"/>
  <c r="LT6" i="91"/>
  <c r="LT8" i="91"/>
  <c r="LT15" i="91"/>
  <c r="LT9" i="91"/>
  <c r="LT5" i="91"/>
  <c r="LT3" i="91"/>
  <c r="LU1" i="91"/>
  <c r="LT2" i="91"/>
  <c r="LU5" i="91" l="1"/>
  <c r="LU14" i="91"/>
  <c r="LU12" i="91"/>
  <c r="LU11" i="91"/>
  <c r="LU13" i="91"/>
  <c r="LU7" i="91"/>
  <c r="LU8" i="91"/>
  <c r="LU6" i="91"/>
  <c r="LU10" i="91"/>
  <c r="LU15" i="91"/>
  <c r="LU9" i="91"/>
  <c r="LV1" i="91"/>
  <c r="LV5" i="91" l="1"/>
  <c r="LV12" i="91"/>
  <c r="LV9" i="91"/>
  <c r="LV13" i="91"/>
  <c r="LV14" i="91"/>
  <c r="LV10" i="91"/>
  <c r="LV6" i="91"/>
  <c r="LV7" i="91"/>
  <c r="LV15" i="91"/>
  <c r="LV11" i="91"/>
  <c r="LV8" i="91"/>
  <c r="LW1" i="91"/>
  <c r="LW4" i="91" l="1"/>
  <c r="LW11" i="91"/>
  <c r="LW13" i="91"/>
  <c r="LW12" i="91"/>
  <c r="LW9" i="91"/>
  <c r="LW6" i="91"/>
  <c r="LW14" i="91"/>
  <c r="LW10" i="91"/>
  <c r="LW15" i="91"/>
  <c r="LW8" i="91"/>
  <c r="LW7" i="91"/>
  <c r="LW5" i="91"/>
  <c r="LW3" i="91"/>
  <c r="LW2" i="91"/>
  <c r="LX1" i="91"/>
  <c r="LX5" i="91" l="1"/>
  <c r="LX11" i="91"/>
  <c r="LX12" i="91"/>
  <c r="LX15" i="91"/>
  <c r="LX13" i="91"/>
  <c r="LX6" i="91"/>
  <c r="LX9" i="91"/>
  <c r="LX8" i="91"/>
  <c r="LX14" i="91"/>
  <c r="LX7" i="91"/>
  <c r="LX10" i="91"/>
  <c r="LY1" i="91"/>
  <c r="LY5" i="91" l="1"/>
  <c r="LY15" i="91"/>
  <c r="LY10" i="91"/>
  <c r="LY8" i="91"/>
  <c r="LY12" i="91"/>
  <c r="LY9" i="91"/>
  <c r="LY6" i="91"/>
  <c r="LY14" i="91"/>
  <c r="LY13" i="91"/>
  <c r="LY11" i="91"/>
  <c r="LY7" i="91"/>
  <c r="LZ1" i="91"/>
  <c r="LZ13" i="91" l="1"/>
  <c r="LZ7" i="91"/>
  <c r="LZ15" i="91"/>
  <c r="LZ6" i="91"/>
  <c r="LZ9" i="91"/>
  <c r="LZ11" i="91"/>
  <c r="LZ12" i="91"/>
  <c r="LZ8" i="91"/>
  <c r="LZ10" i="91"/>
  <c r="LZ14" i="91"/>
  <c r="LZ3" i="91"/>
  <c r="LZ4" i="91"/>
  <c r="MA1" i="91"/>
  <c r="LZ5" i="91"/>
  <c r="LZ2" i="91"/>
  <c r="MA5" i="91" l="1"/>
  <c r="MA9" i="91"/>
  <c r="MA12" i="91"/>
  <c r="MA11" i="91"/>
  <c r="MA7" i="91"/>
  <c r="MA14" i="91"/>
  <c r="MA10" i="91"/>
  <c r="MA15" i="91"/>
  <c r="MA6" i="91"/>
  <c r="MA8" i="91"/>
  <c r="MA13" i="91"/>
  <c r="MB1" i="91"/>
  <c r="MB5" i="91" l="1"/>
  <c r="MB13" i="91"/>
  <c r="MB7" i="91"/>
  <c r="MB12" i="91"/>
  <c r="MB10" i="91"/>
  <c r="MB14" i="91"/>
  <c r="MB9" i="91"/>
  <c r="MB15" i="91"/>
  <c r="MB11" i="91"/>
  <c r="MB8" i="91"/>
  <c r="MB6" i="91"/>
  <c r="MC1" i="91"/>
  <c r="MC4" i="91" l="1"/>
  <c r="MC15" i="91"/>
  <c r="MC13" i="91"/>
  <c r="MC9" i="91"/>
  <c r="MC11" i="91"/>
  <c r="MC14" i="91"/>
  <c r="MC8" i="91"/>
  <c r="MC7" i="91"/>
  <c r="MC10" i="91"/>
  <c r="MC12" i="91"/>
  <c r="MC6" i="91"/>
  <c r="MC2" i="91"/>
  <c r="MC5" i="91"/>
  <c r="MC3" i="91"/>
  <c r="MD1" i="91"/>
  <c r="MD5" i="91" l="1"/>
  <c r="MD15" i="91"/>
  <c r="MD13" i="91"/>
  <c r="MD11" i="91"/>
  <c r="MD12" i="91"/>
  <c r="MD7" i="91"/>
  <c r="MD8" i="91"/>
  <c r="MD10" i="91"/>
  <c r="MD14" i="91"/>
  <c r="MD9" i="91"/>
  <c r="MD6" i="91"/>
  <c r="ME1" i="91"/>
  <c r="ME5" i="91" l="1"/>
  <c r="ME15" i="91"/>
  <c r="ME13" i="91"/>
  <c r="ME14" i="91"/>
  <c r="ME11" i="91"/>
  <c r="ME12" i="91"/>
  <c r="ME6" i="91"/>
  <c r="ME8" i="91"/>
  <c r="ME7" i="91"/>
  <c r="ME10" i="91"/>
  <c r="ME9" i="91"/>
  <c r="MF1" i="91"/>
  <c r="MF2" i="91" l="1"/>
  <c r="MF14" i="91"/>
  <c r="MF15" i="91"/>
  <c r="MF8" i="91"/>
  <c r="MF6" i="91"/>
  <c r="MF11" i="91"/>
  <c r="MF13" i="91"/>
  <c r="MF12" i="91"/>
  <c r="MF10" i="91"/>
  <c r="MF7" i="91"/>
  <c r="MF9" i="91"/>
  <c r="MG1" i="91"/>
  <c r="MF4" i="91"/>
  <c r="MF5" i="91"/>
  <c r="MF3" i="91"/>
  <c r="MG5" i="91" l="1"/>
  <c r="MG12" i="91"/>
  <c r="MG6" i="91"/>
  <c r="MG10" i="91"/>
  <c r="MG15" i="91"/>
  <c r="MG8" i="91"/>
  <c r="MG13" i="91"/>
  <c r="MG9" i="91"/>
  <c r="MG11" i="91"/>
  <c r="MG14" i="91"/>
  <c r="MG7" i="91"/>
  <c r="MH1" i="91"/>
  <c r="MI1" i="91" s="1"/>
  <c r="MI4" i="91" l="1"/>
  <c r="MI9" i="91"/>
  <c r="MI7" i="91"/>
  <c r="MI12" i="91"/>
  <c r="MI13" i="91"/>
  <c r="MI15" i="91"/>
  <c r="MI14" i="91"/>
  <c r="MI6" i="91"/>
  <c r="MI8" i="91"/>
  <c r="MI10" i="91"/>
  <c r="MI11" i="91"/>
  <c r="MH5" i="91"/>
  <c r="MH15" i="91"/>
  <c r="MH14" i="91"/>
  <c r="MH13" i="91"/>
  <c r="MH10" i="91"/>
  <c r="MH8" i="91"/>
  <c r="MH7" i="91"/>
  <c r="MH9" i="91"/>
  <c r="MH11" i="91"/>
  <c r="MH6" i="91"/>
  <c r="MH12" i="91"/>
  <c r="MI5" i="91"/>
  <c r="MI3" i="91"/>
  <c r="MJ1" i="91"/>
  <c r="MI2" i="91"/>
  <c r="MJ5" i="91" l="1"/>
  <c r="MJ11" i="91"/>
  <c r="MJ10" i="91"/>
  <c r="MJ15" i="91"/>
  <c r="MJ6" i="91"/>
  <c r="MJ12" i="91"/>
  <c r="MJ13" i="91"/>
  <c r="MJ14" i="91"/>
  <c r="MJ8" i="91"/>
  <c r="MJ9" i="91"/>
  <c r="MJ7" i="91"/>
  <c r="MK1" i="91"/>
  <c r="MK5" i="91" l="1"/>
  <c r="MK11" i="91"/>
  <c r="MK14" i="91"/>
  <c r="MK15" i="91"/>
  <c r="MK8" i="91"/>
  <c r="MK13" i="91"/>
  <c r="MK12" i="91"/>
  <c r="MK6" i="91"/>
  <c r="MK9" i="91"/>
  <c r="MK10" i="91"/>
  <c r="MK7" i="91"/>
  <c r="ML1" i="91"/>
  <c r="ML10" i="91" l="1"/>
  <c r="ML8" i="91"/>
  <c r="ML15" i="91"/>
  <c r="ML6" i="91"/>
  <c r="ML14" i="91"/>
  <c r="ML11" i="91"/>
  <c r="ML13" i="91"/>
  <c r="ML7" i="91"/>
  <c r="ML12" i="91"/>
  <c r="ML9" i="91"/>
  <c r="ML3" i="91"/>
  <c r="ML4" i="91"/>
  <c r="MM1" i="91"/>
  <c r="MN1" i="91" s="1"/>
  <c r="ML5" i="91"/>
  <c r="ML2" i="91"/>
  <c r="MN5" i="91" l="1"/>
  <c r="MN14" i="91"/>
  <c r="MN12" i="91"/>
  <c r="MN15" i="91"/>
  <c r="MN10" i="91"/>
  <c r="MN11" i="91"/>
  <c r="MN9" i="91"/>
  <c r="MN7" i="91"/>
  <c r="MN6" i="91"/>
  <c r="MN8" i="91"/>
  <c r="MN13" i="91"/>
  <c r="MM5" i="91"/>
  <c r="MM14" i="91"/>
  <c r="MM8" i="91"/>
  <c r="MM15" i="91"/>
  <c r="MM10" i="91"/>
  <c r="MM13" i="91"/>
  <c r="MM6" i="91"/>
  <c r="MM11" i="91"/>
  <c r="MM9" i="91"/>
  <c r="MM12" i="91"/>
  <c r="MM7" i="91"/>
  <c r="MO1" i="91"/>
  <c r="MO4" i="91" l="1"/>
  <c r="MO14" i="91"/>
  <c r="MO12" i="91"/>
  <c r="MO15" i="91"/>
  <c r="MO11" i="91"/>
  <c r="MO13" i="91"/>
  <c r="MO8" i="91"/>
  <c r="MO9" i="91"/>
  <c r="MO7" i="91"/>
  <c r="MO10" i="91"/>
  <c r="MO6" i="91"/>
  <c r="MO5" i="91"/>
  <c r="MO3" i="91"/>
  <c r="MO2" i="91"/>
  <c r="MP1" i="91"/>
  <c r="MP5" i="91" l="1"/>
  <c r="MP11" i="91"/>
  <c r="MP14" i="91"/>
  <c r="MP13" i="91"/>
  <c r="MP7" i="91"/>
  <c r="MP9" i="91"/>
  <c r="MP15" i="91"/>
  <c r="MP8" i="91"/>
  <c r="MP10" i="91"/>
  <c r="MP6" i="91"/>
  <c r="MP12" i="91"/>
  <c r="MQ1" i="91"/>
  <c r="MQ5" i="91" l="1"/>
  <c r="MQ14" i="91"/>
  <c r="MQ12" i="91"/>
  <c r="MQ9" i="91"/>
  <c r="MQ7" i="91"/>
  <c r="MQ13" i="91"/>
  <c r="MQ15" i="91"/>
  <c r="MQ8" i="91"/>
  <c r="MQ11" i="91"/>
  <c r="MQ10" i="91"/>
  <c r="MQ6" i="91"/>
  <c r="MR1" i="91"/>
  <c r="MR4" i="91" l="1"/>
  <c r="MR13" i="91"/>
  <c r="MR14" i="91"/>
  <c r="MR7" i="91"/>
  <c r="MR15" i="91"/>
  <c r="MR11" i="91"/>
  <c r="MR6" i="91"/>
  <c r="MR8" i="91"/>
  <c r="MR10" i="91"/>
  <c r="MR12" i="91"/>
  <c r="MR9" i="91"/>
  <c r="MR5" i="91"/>
  <c r="MR3" i="91"/>
  <c r="MR2" i="91"/>
  <c r="MS1" i="91"/>
  <c r="MS5" i="91" l="1"/>
  <c r="MS12" i="91"/>
  <c r="MS11" i="91"/>
  <c r="MS10" i="91"/>
  <c r="MS8" i="91"/>
  <c r="MS14" i="91"/>
  <c r="MS7" i="91"/>
  <c r="MS13" i="91"/>
  <c r="MS15" i="91"/>
  <c r="MS6" i="91"/>
  <c r="MS9" i="91"/>
  <c r="MT1" i="91"/>
  <c r="MT5" i="91" l="1"/>
  <c r="MT10" i="91"/>
  <c r="MT13" i="91"/>
  <c r="MT11" i="91"/>
  <c r="MT6" i="91"/>
  <c r="MT15" i="91"/>
  <c r="MT14" i="91"/>
  <c r="MT12" i="91"/>
  <c r="MT9" i="91"/>
  <c r="MT8" i="91"/>
  <c r="MT7" i="91"/>
  <c r="MU1" i="91"/>
  <c r="MU4" i="91" l="1"/>
  <c r="MU14" i="91"/>
  <c r="MU7" i="91"/>
  <c r="MU9" i="91"/>
  <c r="MU12" i="91"/>
  <c r="MU13" i="91"/>
  <c r="MU10" i="91"/>
  <c r="MU15" i="91"/>
  <c r="MU11" i="91"/>
  <c r="MU6" i="91"/>
  <c r="MU8" i="91"/>
  <c r="MU5" i="91"/>
  <c r="MU3" i="91"/>
  <c r="MV1" i="91"/>
  <c r="MU2" i="91"/>
  <c r="MV5" i="91" l="1"/>
  <c r="MV15" i="91"/>
  <c r="MV13" i="91"/>
  <c r="MV11" i="91"/>
  <c r="MV9" i="91"/>
  <c r="MV14" i="91"/>
  <c r="MV12" i="91"/>
  <c r="MV6" i="91"/>
  <c r="MV10" i="91"/>
  <c r="MV8" i="91"/>
  <c r="MV7" i="91"/>
  <c r="MW1" i="91"/>
  <c r="MW5" i="91" l="1"/>
  <c r="MW7" i="91"/>
  <c r="MW15" i="91"/>
  <c r="MW12" i="91"/>
  <c r="MW6" i="91"/>
  <c r="MW14" i="91"/>
  <c r="MW10" i="91"/>
  <c r="MW11" i="91"/>
  <c r="MW8" i="91"/>
  <c r="MW13" i="91"/>
  <c r="MW9" i="91"/>
  <c r="MX1" i="91"/>
  <c r="MX15" i="91" l="1"/>
  <c r="MX13" i="91"/>
  <c r="MX11" i="91"/>
  <c r="MX12" i="91"/>
  <c r="MX9" i="91"/>
  <c r="MX8" i="91"/>
  <c r="MX6" i="91"/>
  <c r="MX14" i="91"/>
  <c r="MX10" i="91"/>
  <c r="MX7" i="91"/>
  <c r="MX3" i="91"/>
  <c r="MX4" i="91"/>
  <c r="MY1" i="91"/>
  <c r="MX5" i="91"/>
  <c r="MX2" i="91"/>
  <c r="MY5" i="91" l="1"/>
  <c r="MY15" i="91"/>
  <c r="MY13" i="91"/>
  <c r="MY11" i="91"/>
  <c r="MY6" i="91"/>
  <c r="MY12" i="91"/>
  <c r="MY9" i="91"/>
  <c r="MY14" i="91"/>
  <c r="MY8" i="91"/>
  <c r="MY7" i="91"/>
  <c r="MY10" i="91"/>
  <c r="MZ1" i="91"/>
  <c r="MZ5" i="91" l="1"/>
  <c r="MZ13" i="91"/>
  <c r="MZ12" i="91"/>
  <c r="MZ7" i="91"/>
  <c r="MZ10" i="91"/>
  <c r="MZ11" i="91"/>
  <c r="MZ14" i="91"/>
  <c r="MZ8" i="91"/>
  <c r="MZ15" i="91"/>
  <c r="MZ6" i="91"/>
  <c r="MZ9" i="91"/>
  <c r="NA1" i="91"/>
  <c r="NA2" i="91" s="1"/>
  <c r="NA4" i="91" l="1"/>
  <c r="NA15" i="91"/>
  <c r="NA13" i="91"/>
  <c r="NA6" i="91"/>
  <c r="NA8" i="91"/>
  <c r="NA10" i="91"/>
  <c r="NA11" i="91"/>
  <c r="NA12" i="91"/>
  <c r="NA14" i="91"/>
  <c r="NA7" i="91"/>
  <c r="NA9" i="91"/>
  <c r="NB1" i="91"/>
  <c r="NA3" i="91"/>
  <c r="NA5" i="91"/>
  <c r="NB5" i="91" l="1"/>
  <c r="NB13" i="91"/>
  <c r="NB7" i="91"/>
  <c r="NB11" i="91"/>
  <c r="NB12" i="91"/>
  <c r="NB8" i="91"/>
  <c r="NB14" i="91"/>
  <c r="NB15" i="91"/>
  <c r="NB9" i="91"/>
  <c r="NB6" i="91"/>
  <c r="NB10" i="91"/>
  <c r="NC1" i="91"/>
  <c r="NC5" i="91" l="1"/>
  <c r="NC9" i="91"/>
  <c r="NC7" i="91"/>
  <c r="NC14" i="91"/>
  <c r="NC12" i="91"/>
  <c r="NC13" i="91"/>
  <c r="NC11" i="91"/>
  <c r="NC10" i="91"/>
  <c r="NC15" i="91"/>
  <c r="NC8" i="91"/>
  <c r="NC6" i="91"/>
  <c r="ND1" i="91"/>
  <c r="NE1" i="91" s="1"/>
  <c r="ND2" i="91" l="1"/>
  <c r="NE5" i="91"/>
  <c r="NE14" i="91"/>
  <c r="NE9" i="91"/>
  <c r="NE6" i="91"/>
  <c r="NE15" i="91"/>
  <c r="NE7" i="91"/>
  <c r="NE8" i="91"/>
  <c r="NE10" i="91"/>
  <c r="NE11" i="91"/>
  <c r="NE13" i="91"/>
  <c r="NE12" i="91"/>
  <c r="ND4" i="91"/>
  <c r="ND12" i="91"/>
  <c r="ND15" i="91"/>
  <c r="ND6" i="91"/>
  <c r="ND8" i="91"/>
  <c r="ND9" i="91"/>
  <c r="ND14" i="91"/>
  <c r="ND7" i="91"/>
  <c r="ND11" i="91"/>
  <c r="ND13" i="91"/>
  <c r="ND10" i="91"/>
  <c r="ND3" i="91"/>
  <c r="ND5" i="91"/>
  <c r="NF1" i="91"/>
  <c r="NF5" i="91" l="1"/>
  <c r="NF12" i="91"/>
  <c r="NF8" i="91"/>
  <c r="NF6" i="91"/>
  <c r="NF9" i="91"/>
  <c r="NF11" i="91"/>
  <c r="NF15" i="91"/>
  <c r="NF7" i="91"/>
  <c r="NF10" i="91"/>
  <c r="NF14" i="91"/>
  <c r="NF13" i="91"/>
  <c r="NG1" i="91"/>
  <c r="NG4" i="91" l="1"/>
  <c r="NG11" i="91"/>
  <c r="NG12" i="91"/>
  <c r="NG15" i="91"/>
  <c r="NG10" i="91"/>
  <c r="NG13" i="91"/>
  <c r="NG8" i="91"/>
  <c r="NG9" i="91"/>
  <c r="NG6" i="91"/>
  <c r="NG14" i="91"/>
  <c r="NG7" i="91"/>
  <c r="NG5" i="91"/>
  <c r="NG3" i="91"/>
  <c r="NH1" i="91"/>
  <c r="NG2" i="91"/>
  <c r="NH5" i="91" l="1"/>
  <c r="NH14" i="91"/>
  <c r="NH12" i="91"/>
  <c r="NH13" i="91"/>
  <c r="NH15" i="91"/>
  <c r="NH8" i="91"/>
  <c r="NH10" i="91"/>
  <c r="NH7" i="91"/>
  <c r="NH6" i="91"/>
  <c r="NH9" i="91"/>
  <c r="NH11" i="91"/>
  <c r="NI1" i="91"/>
  <c r="NI5" i="91" l="1"/>
  <c r="NI14" i="91"/>
  <c r="NI12" i="91"/>
  <c r="NI11" i="91"/>
  <c r="NI13" i="91"/>
  <c r="NI15" i="91"/>
  <c r="NI9" i="91"/>
  <c r="NI6" i="91"/>
  <c r="NI10" i="91"/>
  <c r="NI8" i="91"/>
  <c r="NI7" i="91"/>
  <c r="NJ1" i="91"/>
  <c r="NJ10" i="91" l="1"/>
  <c r="NJ15" i="91"/>
  <c r="NJ11" i="91"/>
  <c r="NJ13" i="91"/>
  <c r="NJ6" i="91"/>
  <c r="NJ14" i="91"/>
  <c r="NJ8" i="91"/>
  <c r="NJ7" i="91"/>
  <c r="NJ9" i="91"/>
  <c r="NJ12" i="91"/>
  <c r="NJ3" i="91"/>
  <c r="NJ4" i="91"/>
  <c r="NK1" i="91"/>
  <c r="NJ5" i="91"/>
  <c r="NJ2" i="91"/>
  <c r="NK5" i="91" l="1"/>
  <c r="NK11" i="91"/>
  <c r="NK12" i="91"/>
  <c r="NK7" i="91"/>
  <c r="NK14" i="91"/>
  <c r="NK10" i="91"/>
  <c r="NK8" i="91"/>
  <c r="NK6" i="91"/>
  <c r="NK15" i="91"/>
  <c r="NK13" i="91"/>
  <c r="NK9" i="91"/>
  <c r="NL1" i="91"/>
  <c r="NL5" i="91" l="1"/>
  <c r="NL14" i="91"/>
  <c r="NL15" i="91"/>
  <c r="NL9" i="91"/>
  <c r="NL12" i="91"/>
  <c r="NL8" i="91"/>
  <c r="NL7" i="91"/>
  <c r="NL10" i="91"/>
  <c r="NL6" i="91"/>
  <c r="NL11" i="91"/>
  <c r="NL13" i="91"/>
  <c r="NM1" i="91"/>
  <c r="NM4" i="91" l="1"/>
  <c r="NM14" i="91"/>
  <c r="NM12" i="91"/>
  <c r="NM10" i="91"/>
  <c r="NM8" i="91"/>
  <c r="NM15" i="91"/>
  <c r="NM11" i="91"/>
  <c r="NM9" i="91"/>
  <c r="NM6" i="91"/>
  <c r="NM7" i="91"/>
  <c r="NM13" i="91"/>
  <c r="NM2" i="91"/>
  <c r="NM5" i="91"/>
  <c r="NM3" i="91"/>
  <c r="NN1" i="91"/>
  <c r="NN5" i="91" l="1"/>
  <c r="NN15" i="91"/>
  <c r="NN14" i="91"/>
  <c r="NN6" i="91"/>
  <c r="NN8" i="91"/>
  <c r="NN9" i="91"/>
  <c r="NN7" i="91"/>
  <c r="NN11" i="91"/>
  <c r="NN13" i="91"/>
  <c r="NN12" i="91"/>
  <c r="NN10" i="91"/>
  <c r="NO1" i="91"/>
  <c r="NO5" i="91" l="1"/>
  <c r="NO11" i="91"/>
  <c r="NO13" i="91"/>
  <c r="NO10" i="91"/>
  <c r="NO14" i="91"/>
  <c r="NO12" i="91"/>
  <c r="NO8" i="91"/>
  <c r="NO15" i="91"/>
  <c r="NO7" i="91"/>
  <c r="NO9" i="91"/>
  <c r="NO6" i="91"/>
  <c r="NP1" i="91"/>
  <c r="NP4" i="91" l="1"/>
  <c r="NP12" i="91"/>
  <c r="NP7" i="91"/>
  <c r="NP11" i="91"/>
  <c r="NP13" i="91"/>
  <c r="NP14" i="91"/>
  <c r="NP8" i="91"/>
  <c r="NP15" i="91"/>
  <c r="NP10" i="91"/>
  <c r="NP9" i="91"/>
  <c r="NP6" i="91"/>
  <c r="NP5" i="91"/>
  <c r="NP3" i="91"/>
  <c r="NP2" i="91"/>
  <c r="NQ1" i="91"/>
  <c r="NQ5" i="91" l="1"/>
  <c r="NQ9" i="91"/>
  <c r="NQ11" i="91"/>
  <c r="NQ13" i="91"/>
  <c r="NQ14" i="91"/>
  <c r="NQ7" i="91"/>
  <c r="NQ6" i="91"/>
  <c r="NQ15" i="91"/>
  <c r="NQ12" i="91"/>
  <c r="NQ8" i="91"/>
  <c r="NQ10" i="91"/>
  <c r="NR1" i="91"/>
  <c r="NR5" i="91" l="1"/>
  <c r="NR15" i="91"/>
  <c r="NR13" i="91"/>
  <c r="NR11" i="91"/>
  <c r="NR7" i="91"/>
  <c r="NR14" i="91"/>
  <c r="NR6" i="91"/>
  <c r="NR10" i="91"/>
  <c r="NR9" i="91"/>
  <c r="NR8" i="91"/>
  <c r="NR12" i="91"/>
  <c r="NS1" i="91"/>
  <c r="NS4" i="91" l="1"/>
  <c r="NS15" i="91"/>
  <c r="NS13" i="91"/>
  <c r="NS9" i="91"/>
  <c r="NS6" i="91"/>
  <c r="NS14" i="91"/>
  <c r="NS7" i="91"/>
  <c r="NS10" i="91"/>
  <c r="NS8" i="91"/>
  <c r="NS12" i="91"/>
  <c r="NS11" i="91"/>
  <c r="NS2" i="91"/>
  <c r="NT1" i="91"/>
  <c r="NS5" i="91"/>
  <c r="NS3" i="91"/>
  <c r="NT5" i="91" l="1"/>
  <c r="NT14" i="91"/>
  <c r="NT13" i="91"/>
  <c r="NT6" i="91"/>
  <c r="NT11" i="91"/>
  <c r="NT7" i="91"/>
  <c r="NT9" i="91"/>
  <c r="NT8" i="91"/>
  <c r="NT15" i="91"/>
  <c r="NT10" i="91"/>
  <c r="NT12" i="91"/>
  <c r="NU1" i="91"/>
  <c r="NU5" i="91" l="1"/>
  <c r="NU15" i="91"/>
  <c r="NU6" i="91"/>
  <c r="NU11" i="91"/>
  <c r="NU9" i="91"/>
  <c r="NU7" i="91"/>
  <c r="NU14" i="91"/>
  <c r="NU8" i="91"/>
  <c r="NU10" i="91"/>
  <c r="NU13" i="91"/>
  <c r="NU12" i="91"/>
  <c r="NV1" i="91"/>
  <c r="NW1" i="91" s="1"/>
  <c r="NW5" i="91" l="1"/>
  <c r="NW15" i="91"/>
  <c r="NW13" i="91"/>
  <c r="NW9" i="91"/>
  <c r="NW7" i="91"/>
  <c r="NW12" i="91"/>
  <c r="NW11" i="91"/>
  <c r="NW10" i="91"/>
  <c r="NW6" i="91"/>
  <c r="NW14" i="91"/>
  <c r="NW8" i="91"/>
  <c r="NV5" i="91"/>
  <c r="NV3" i="91"/>
  <c r="NV14" i="91"/>
  <c r="NV8" i="91"/>
  <c r="NV13" i="91"/>
  <c r="NV6" i="91"/>
  <c r="NV15" i="91"/>
  <c r="NV11" i="91"/>
  <c r="NV7" i="91"/>
  <c r="NV9" i="91"/>
  <c r="NV10" i="91"/>
  <c r="NV12" i="91"/>
  <c r="NV2" i="91"/>
  <c r="NV4" i="91"/>
  <c r="NX1" i="91"/>
  <c r="NX5" i="91" l="1"/>
  <c r="NX13" i="91"/>
  <c r="NX9" i="91"/>
  <c r="NX15" i="91"/>
  <c r="NX11" i="91"/>
  <c r="NX7" i="91"/>
  <c r="NX10" i="91"/>
  <c r="NX14" i="91"/>
  <c r="NX12" i="91"/>
  <c r="NX8" i="91"/>
  <c r="NX6" i="91"/>
  <c r="NY1" i="91"/>
  <c r="NY4" i="91" l="1"/>
  <c r="NY13" i="91"/>
  <c r="NY11" i="91"/>
  <c r="NY10" i="91"/>
  <c r="NY7" i="91"/>
  <c r="NY15" i="91"/>
  <c r="NY14" i="91"/>
  <c r="NY9" i="91"/>
  <c r="NY12" i="91"/>
  <c r="NY8" i="91"/>
  <c r="NY6" i="91"/>
  <c r="NZ1" i="91"/>
  <c r="OA1" i="91" s="1"/>
  <c r="NY2" i="91"/>
  <c r="NY5" i="91"/>
  <c r="NY3" i="91"/>
  <c r="OA5" i="91" l="1"/>
  <c r="OA11" i="91"/>
  <c r="OA13" i="91"/>
  <c r="OA8" i="91"/>
  <c r="OA12" i="91"/>
  <c r="OA7" i="91"/>
  <c r="OA14" i="91"/>
  <c r="OA6" i="91"/>
  <c r="OA10" i="91"/>
  <c r="OA9" i="91"/>
  <c r="OA15" i="91"/>
  <c r="NZ5" i="91"/>
  <c r="NZ14" i="91"/>
  <c r="NZ12" i="91"/>
  <c r="NZ10" i="91"/>
  <c r="NZ13" i="91"/>
  <c r="NZ15" i="91"/>
  <c r="NZ11" i="91"/>
  <c r="NZ9" i="91"/>
  <c r="NZ8" i="91"/>
  <c r="NZ7" i="91"/>
  <c r="NZ6" i="91"/>
  <c r="OB1" i="91"/>
  <c r="OB4" i="91" l="1"/>
  <c r="OB14" i="91"/>
  <c r="OB12" i="91"/>
  <c r="OB13" i="91"/>
  <c r="OB8" i="91"/>
  <c r="OB10" i="91"/>
  <c r="OB15" i="91"/>
  <c r="OB11" i="91"/>
  <c r="OB9" i="91"/>
  <c r="OB6" i="91"/>
  <c r="OB7" i="91"/>
  <c r="OB5" i="91"/>
  <c r="OB3" i="91"/>
  <c r="OC1" i="91"/>
  <c r="OB2" i="91"/>
  <c r="OC5" i="91" l="1"/>
  <c r="OC14" i="91"/>
  <c r="OC12" i="91"/>
  <c r="OC11" i="91"/>
  <c r="OC8" i="91"/>
  <c r="OC6" i="91"/>
  <c r="OC10" i="91"/>
  <c r="OC15" i="91"/>
  <c r="OC13" i="91"/>
  <c r="OC9" i="91"/>
  <c r="OC7" i="91"/>
  <c r="OD1" i="91"/>
  <c r="OD5" i="91" l="1"/>
  <c r="OD12" i="91"/>
  <c r="OD10" i="91"/>
  <c r="OD13" i="91"/>
  <c r="OD15" i="91"/>
  <c r="OD8" i="91"/>
  <c r="OD9" i="91"/>
  <c r="OD7" i="91"/>
  <c r="OD14" i="91"/>
  <c r="OD6" i="91"/>
  <c r="OD11" i="91"/>
  <c r="OE1" i="91"/>
  <c r="OE4" i="91" l="1"/>
  <c r="OE12" i="91"/>
  <c r="OE10" i="91"/>
  <c r="OE15" i="91"/>
  <c r="OE14" i="91"/>
  <c r="OE13" i="91"/>
  <c r="OE8" i="91"/>
  <c r="OE7" i="91"/>
  <c r="OE6" i="91"/>
  <c r="OE11" i="91"/>
  <c r="OE9" i="91"/>
  <c r="OE5" i="91"/>
  <c r="OE3" i="91"/>
  <c r="OF1" i="91"/>
  <c r="OE2" i="91"/>
  <c r="OF5" i="91" l="1"/>
  <c r="OF11" i="91"/>
  <c r="OF14" i="91"/>
  <c r="OF7" i="91"/>
  <c r="OF15" i="91"/>
  <c r="OF9" i="91"/>
  <c r="OF13" i="91"/>
  <c r="OF12" i="91"/>
  <c r="OF8" i="91"/>
  <c r="OF10" i="91"/>
  <c r="OF6" i="91"/>
  <c r="OG1" i="91"/>
  <c r="OG5" i="91" l="1"/>
  <c r="OG10" i="91"/>
  <c r="OG8" i="91"/>
  <c r="OG13" i="91"/>
  <c r="OG15" i="91"/>
  <c r="OG9" i="91"/>
  <c r="OG12" i="91"/>
  <c r="OG6" i="91"/>
  <c r="OG11" i="91"/>
  <c r="OG14" i="91"/>
  <c r="OG7" i="91"/>
  <c r="OH1" i="91"/>
  <c r="OH11" i="91" l="1"/>
  <c r="OH10" i="91"/>
  <c r="OH12" i="91"/>
  <c r="OH6" i="91"/>
  <c r="OH15" i="91"/>
  <c r="OH9" i="91"/>
  <c r="OH13" i="91"/>
  <c r="OH14" i="91"/>
  <c r="OH8" i="91"/>
  <c r="OH7" i="91"/>
  <c r="OH3" i="91"/>
  <c r="OH4" i="91"/>
  <c r="OI1" i="91"/>
  <c r="OH5" i="91"/>
  <c r="OH2" i="91"/>
  <c r="OI5" i="91" l="1"/>
  <c r="OI14" i="91"/>
  <c r="OI12" i="91"/>
  <c r="OI15" i="91"/>
  <c r="OI9" i="91"/>
  <c r="OI8" i="91"/>
  <c r="OI11" i="91"/>
  <c r="OI13" i="91"/>
  <c r="OI6" i="91"/>
  <c r="OI7" i="91"/>
  <c r="OI10" i="91"/>
  <c r="OJ1" i="91"/>
  <c r="OJ5" i="91" l="1"/>
  <c r="OJ14" i="91"/>
  <c r="OJ10" i="91"/>
  <c r="OJ15" i="91"/>
  <c r="OJ8" i="91"/>
  <c r="OJ12" i="91"/>
  <c r="OJ11" i="91"/>
  <c r="OJ13" i="91"/>
  <c r="OJ6" i="91"/>
  <c r="OJ9" i="91"/>
  <c r="OJ7" i="91"/>
  <c r="OK1" i="91"/>
  <c r="OK4" i="91" l="1"/>
  <c r="OK11" i="91"/>
  <c r="OK12" i="91"/>
  <c r="OK7" i="91"/>
  <c r="OK15" i="91"/>
  <c r="OK10" i="91"/>
  <c r="OK9" i="91"/>
  <c r="OK6" i="91"/>
  <c r="OK13" i="91"/>
  <c r="OK8" i="91"/>
  <c r="OK14" i="91"/>
  <c r="OK3" i="91"/>
  <c r="OL1" i="91"/>
  <c r="OM1" i="91" s="1"/>
  <c r="OK2" i="91"/>
  <c r="OK5" i="91"/>
  <c r="OM5" i="91" l="1"/>
  <c r="OM15" i="91"/>
  <c r="OM13" i="91"/>
  <c r="OM12" i="91"/>
  <c r="OM14" i="91"/>
  <c r="OM7" i="91"/>
  <c r="OM6" i="91"/>
  <c r="OM10" i="91"/>
  <c r="OM11" i="91"/>
  <c r="OM9" i="91"/>
  <c r="OM8" i="91"/>
  <c r="OL5" i="91"/>
  <c r="OL15" i="91"/>
  <c r="OL13" i="91"/>
  <c r="OL11" i="91"/>
  <c r="OL9" i="91"/>
  <c r="OL8" i="91"/>
  <c r="OL12" i="91"/>
  <c r="OL14" i="91"/>
  <c r="OL7" i="91"/>
  <c r="OL6" i="91"/>
  <c r="OL10" i="91"/>
  <c r="ON1" i="91"/>
  <c r="ON4" i="91" l="1"/>
  <c r="ON13" i="91"/>
  <c r="ON12" i="91"/>
  <c r="ON9" i="91"/>
  <c r="ON15" i="91"/>
  <c r="ON14" i="91"/>
  <c r="ON6" i="91"/>
  <c r="ON11" i="91"/>
  <c r="ON7" i="91"/>
  <c r="ON10" i="91"/>
  <c r="ON8" i="91"/>
  <c r="ON5" i="91"/>
  <c r="ON3" i="91"/>
  <c r="ON2" i="91"/>
  <c r="OO1" i="91"/>
  <c r="OO5" i="91" l="1"/>
  <c r="OO15" i="91"/>
  <c r="OO6" i="91"/>
  <c r="OO14" i="91"/>
  <c r="OO12" i="91"/>
  <c r="OO13" i="91"/>
  <c r="OO11" i="91"/>
  <c r="OO7" i="91"/>
  <c r="OO8" i="91"/>
  <c r="OO10" i="91"/>
  <c r="OO9" i="91"/>
  <c r="OP1" i="91"/>
  <c r="OP5" i="91" l="1"/>
  <c r="OP15" i="91"/>
  <c r="OP14" i="91"/>
  <c r="OP7" i="91"/>
  <c r="OP13" i="91"/>
  <c r="OP8" i="91"/>
  <c r="OP11" i="91"/>
  <c r="OP12" i="91"/>
  <c r="OP6" i="91"/>
  <c r="OP10" i="91"/>
  <c r="OP9" i="91"/>
  <c r="OQ1" i="91"/>
  <c r="OQ4" i="91" l="1"/>
  <c r="OQ9" i="91"/>
  <c r="OQ7" i="91"/>
  <c r="OQ15" i="91"/>
  <c r="OQ8" i="91"/>
  <c r="OQ11" i="91"/>
  <c r="OQ13" i="91"/>
  <c r="OQ14" i="91"/>
  <c r="OQ6" i="91"/>
  <c r="OQ12" i="91"/>
  <c r="OQ10" i="91"/>
  <c r="OQ5" i="91"/>
  <c r="OQ3" i="91"/>
  <c r="OQ2" i="91"/>
  <c r="OR1" i="91"/>
  <c r="OR5" i="91" l="1"/>
  <c r="OR15" i="91"/>
  <c r="OR11" i="91"/>
  <c r="OR7" i="91"/>
  <c r="OR13" i="91"/>
  <c r="OR6" i="91"/>
  <c r="OR8" i="91"/>
  <c r="OR12" i="91"/>
  <c r="OR10" i="91"/>
  <c r="OR14" i="91"/>
  <c r="OR9" i="91"/>
  <c r="OS1" i="91"/>
  <c r="OS5" i="91" l="1"/>
  <c r="OS15" i="91"/>
  <c r="OS13" i="91"/>
  <c r="OS14" i="91"/>
  <c r="OS6" i="91"/>
  <c r="OS8" i="91"/>
  <c r="OS7" i="91"/>
  <c r="OS11" i="91"/>
  <c r="OS12" i="91"/>
  <c r="OS9" i="91"/>
  <c r="OS10" i="91"/>
  <c r="OT1" i="91"/>
  <c r="OT4" i="91" l="1"/>
  <c r="OT15" i="91"/>
  <c r="OT12" i="91"/>
  <c r="OT11" i="91"/>
  <c r="OT9" i="91"/>
  <c r="OT13" i="91"/>
  <c r="OT10" i="91"/>
  <c r="OT6" i="91"/>
  <c r="OT7" i="91"/>
  <c r="OT14" i="91"/>
  <c r="OT8" i="91"/>
  <c r="OT5" i="91"/>
  <c r="OT3" i="91"/>
  <c r="OT2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<sst xmlns="http://schemas.openxmlformats.org/spreadsheetml/2006/main" count="116" uniqueCount="64">
  <si>
    <t>Economic Indicators</t>
  </si>
  <si>
    <t>Freq</t>
  </si>
  <si>
    <t>Unit</t>
  </si>
  <si>
    <t>Source</t>
  </si>
  <si>
    <t>log</t>
  </si>
  <si>
    <t>Q</t>
  </si>
  <si>
    <t>M</t>
  </si>
  <si>
    <t>Days lag</t>
  </si>
  <si>
    <t>Months lag</t>
  </si>
  <si>
    <t>Parameters</t>
  </si>
  <si>
    <t>Value</t>
  </si>
  <si>
    <t>Start year</t>
  </si>
  <si>
    <t>End year</t>
  </si>
  <si>
    <t>Monthly data</t>
  </si>
  <si>
    <t>Quarterly data</t>
  </si>
  <si>
    <t>QoQ</t>
  </si>
  <si>
    <t>YoY</t>
  </si>
  <si>
    <t>MoM</t>
  </si>
  <si>
    <t>Series Name</t>
  </si>
  <si>
    <t>Compiled by</t>
  </si>
  <si>
    <t>INCLUDE</t>
  </si>
  <si>
    <t>INCLUDED</t>
  </si>
  <si>
    <t>Indicator Code</t>
  </si>
  <si>
    <t>Gross Domestic Product: SNA 2008: 2010p</t>
  </si>
  <si>
    <t>GDP growth</t>
  </si>
  <si>
    <t xml:space="preserve">Business Survey: Business Activity: R: Weighted Net Balance </t>
  </si>
  <si>
    <t>RGDP_level</t>
  </si>
  <si>
    <t>RGDP_growth</t>
  </si>
  <si>
    <t>Bus_Act</t>
  </si>
  <si>
    <t>IDR bn</t>
  </si>
  <si>
    <t>%</t>
  </si>
  <si>
    <t>Statistics Indonesia</t>
  </si>
  <si>
    <t>Bank Indonesia</t>
  </si>
  <si>
    <t>CEIC</t>
  </si>
  <si>
    <t>Manufacturing PMI: Headline: sa: Emerging Markets</t>
  </si>
  <si>
    <t>Broad Money (M2)</t>
  </si>
  <si>
    <t>Motor Vehicle Sales: PT Astra: Local</t>
  </si>
  <si>
    <t>Consumption: Cement: Domestic</t>
  </si>
  <si>
    <t>Export: fob</t>
  </si>
  <si>
    <t>Imports: Consumer Goods (CG)</t>
  </si>
  <si>
    <t>Imports: Capital Goods</t>
  </si>
  <si>
    <t>Imports: Intermediate Goods (IG)</t>
  </si>
  <si>
    <t>Headline Inflation</t>
  </si>
  <si>
    <t>Spot FX Rate: Month-End: Bank Indonesia: IDR to US Dollar</t>
  </si>
  <si>
    <t>Policy Rate: Month End: Indonesia: BI-Rate</t>
  </si>
  <si>
    <t>Man_PMI_EM</t>
  </si>
  <si>
    <t>M2</t>
  </si>
  <si>
    <t>Inflation</t>
  </si>
  <si>
    <t>Car_sales</t>
  </si>
  <si>
    <t>Cement</t>
  </si>
  <si>
    <t>Export</t>
  </si>
  <si>
    <t>M_con_goods</t>
  </si>
  <si>
    <t>M_cap_goods</t>
  </si>
  <si>
    <t>M_raw_mat</t>
  </si>
  <si>
    <t>Forex</t>
  </si>
  <si>
    <t>Policy_rate</t>
  </si>
  <si>
    <t>Ton th</t>
  </si>
  <si>
    <t>USD mn</t>
  </si>
  <si>
    <t>USD/IDR</t>
  </si>
  <si>
    <t>% pa</t>
  </si>
  <si>
    <t>index</t>
  </si>
  <si>
    <t>S&amp;P Global</t>
  </si>
  <si>
    <t>PT Astra International Tbk</t>
  </si>
  <si>
    <t>Indonesia Cement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</si>
</sst>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2" fillId="0" borderId="0" xfId="1" applyNumberFormat="1" applyFont="1" applyFill="1"/>
    <xf numFmtId="0" fontId="6" fillId="0" borderId="0" xfId="1" applyNumberFormat="1" applyFont="1" applyFill="1" applyAlignment="1">
      <alignment vertical="top" wrapText="1"/>
    </xf>
    <xf numFmtId="0" fontId="6" fillId="0" borderId="0" xfId="1" applyNumberFormat="1" applyFont="1" applyFill="1" applyAlignment="1">
      <alignment wrapText="1"/>
    </xf>
    <xf numFmtId="0" fontId="6" fillId="0" borderId="0" xfId="1" applyNumberFormat="1" applyFont="1" applyFill="1" applyAlignment="1">
      <alignment horizontal="left" vertical="top" wrapText="1"/>
    </xf>
    <xf numFmtId="0" fontId="6" fillId="0" borderId="0" xfId="1" applyNumberFormat="1" applyFont="1" applyFill="1"/>
    <xf numFmtId="0" fontId="0" fillId="3" borderId="0" xfId="0" applyFill="1"/>
    <xf numFmtId="0" fontId="0" fillId="4" borderId="2" xfId="0" applyFill="1" applyBorder="1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4" fillId="0" borderId="4" xfId="0" applyFont="1" applyBorder="1"/>
    <xf numFmtId="0" fontId="0" fillId="0" borderId="5" xfId="0" applyBorder="1"/>
    <xf numFmtId="0" fontId="2" fillId="3" borderId="0" xfId="0" applyFont="1" applyFill="1"/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2" fontId="2" fillId="0" borderId="0" xfId="1" applyNumberFormat="1" applyFont="1" applyFill="1"/>
    <xf numFmtId="2" fontId="2" fillId="0" borderId="0" xfId="0" applyNumberFormat="1" applyFont="1"/>
    <xf numFmtId="2" fontId="6" fillId="0" borderId="0" xfId="1" applyNumberFormat="1" applyFont="1" applyFill="1"/>
    <xf numFmtId="0" fontId="2" fillId="3" borderId="2" xfId="0" applyFont="1" applyFill="1" applyBorder="1" applyAlignment="1">
      <alignment wrapText="1"/>
    </xf>
    <xf numFmtId="14" fontId="4" fillId="0" borderId="4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left"/>
    </xf>
    <xf numFmtId="14" fontId="0" fillId="0" borderId="0" xfId="0" applyNumberFormat="1"/>
    <xf numFmtId="0" fontId="6" fillId="0" borderId="0" xfId="2" applyNumberFormat="1" applyFont="1" applyFill="1"/>
    <xf numFmtId="14" fontId="2" fillId="3" borderId="2" xfId="0" applyNumberFormat="1" applyFont="1" applyFill="1" applyBorder="1" applyAlignment="1">
      <alignment wrapText="1"/>
    </xf>
    <xf numFmtId="14" fontId="6" fillId="0" borderId="0" xfId="1" applyNumberFormat="1" applyFont="1" applyFill="1"/>
    <xf numFmtId="0" fontId="5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99">
    <dxf>
      <font>
        <color rgb="FF0000FF"/>
      </font>
    </dxf>
    <dxf>
      <font>
        <color rgb="FFFF0000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8000"/>
      </font>
    </dxf>
    <dxf>
      <numFmt numFmtId="165" formatCode="#,##0.000"/>
    </dxf>
    <dxf>
      <font>
        <color rgb="FFFF0000"/>
      </font>
    </dxf>
    <dxf>
      <font>
        <color rgb="FF000000"/>
      </font>
    </dxf>
    <dxf>
      <numFmt numFmtId="165" formatCode="#,##0.000"/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008000"/>
      </font>
    </dxf>
    <dxf>
      <font>
        <color rgb="FFFF0000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FF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font>
        <color rgb="FF008000"/>
      </font>
    </dxf>
    <dxf>
      <font>
        <color rgb="FFFF0000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008000"/>
      </font>
    </dxf>
    <dxf>
      <font>
        <color rgb="FFFF0000"/>
      </font>
    </dxf>
    <dxf>
      <font>
        <color rgb="FF000000"/>
      </font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41E6-1339-4D02-910B-B701DD2786F9}">
  <sheetPr codeName="Sheet1"/>
  <dimension ref="A1:B5"/>
  <sheetViews>
    <sheetView workbookViewId="0">
      <selection activeCell="B5" sqref="B5"/>
    </sheetView>
  </sheetViews>
  <sheetFormatPr defaultRowHeight="14.5" x14ac:dyDescent="0.35"/>
  <cols>
    <col min="1" max="1" width="21.08984375" customWidth="1"/>
    <col min="2" max="2" width="10.453125" customWidth="1"/>
  </cols>
  <sheetData>
    <row r="1" spans="1:2" x14ac:dyDescent="0.35">
      <c r="A1" s="11" t="s">
        <v>9</v>
      </c>
      <c r="B1" s="11" t="s">
        <v>10</v>
      </c>
    </row>
    <row r="2" spans="1:2" x14ac:dyDescent="0.35">
      <c r="A2" t="s">
        <v>11</v>
      </c>
      <c r="B2" s="12">
        <v>1993</v>
      </c>
    </row>
    <row r="3" spans="1:2" x14ac:dyDescent="0.35">
      <c r="A3" t="s">
        <v>12</v>
      </c>
      <c r="B3" s="10">
        <f ca="1">YEAR(NOW())+1</f>
        <v>2027</v>
      </c>
    </row>
    <row r="4" spans="1:2" x14ac:dyDescent="0.35">
      <c r="A4" t="s">
        <v>14</v>
      </c>
      <c r="B4" s="10">
        <f>COUNTA(InfoQ!A:A)</f>
        <v>4</v>
      </c>
    </row>
    <row r="5" spans="1:2" x14ac:dyDescent="0.35">
      <c r="A5" t="s">
        <v>13</v>
      </c>
      <c r="B5" s="10">
        <f>COUNTA(InfoM!A:A)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L28"/>
  <sheetViews>
    <sheetView zoomScale="85" zoomScaleNormal="85" zoomScalePageLayoutView="85" workbookViewId="0">
      <pane xSplit="1" ySplit="1" topLeftCell="B2" activePane="bottomRight" state="frozen"/>
      <selection pane="topRight"/>
      <selection pane="bottomLeft"/>
      <selection pane="bottomRight" activeCell="H10" sqref="H10"/>
    </sheetView>
  </sheetViews>
  <sheetFormatPr defaultColWidth="8.90625" defaultRowHeight="14.5" x14ac:dyDescent="0.35"/>
  <cols>
    <col min="1" max="1" width="20" customWidth="1"/>
    <col min="2" max="2" width="37.08984375" style="14" customWidth="1"/>
    <col min="5" max="5" width="22.1796875" style="14" customWidth="1"/>
    <col min="6" max="6" width="11.54296875" style="14" bestFit="1" customWidth="1"/>
    <col min="7" max="7" width="11.81640625" customWidth="1"/>
    <col min="8" max="8" width="11" customWidth="1"/>
    <col min="9" max="9" width="12.6328125" customWidth="1"/>
  </cols>
  <sheetData>
    <row r="1" spans="1:12" x14ac:dyDescent="0.35">
      <c r="A1" s="20" t="s">
        <v>22</v>
      </c>
      <c r="B1" s="21" t="s">
        <v>18</v>
      </c>
      <c r="C1" s="22" t="s">
        <v>1</v>
      </c>
      <c r="D1" s="22" t="s">
        <v>2</v>
      </c>
      <c r="E1" s="21" t="s">
        <v>3</v>
      </c>
      <c r="F1" s="21" t="s">
        <v>19</v>
      </c>
      <c r="G1" s="3" t="s">
        <v>21</v>
      </c>
      <c r="H1" s="4" t="s">
        <v>8</v>
      </c>
      <c r="I1" s="4" t="s">
        <v>7</v>
      </c>
      <c r="J1" s="4" t="s">
        <v>4</v>
      </c>
      <c r="K1" s="4" t="s">
        <v>15</v>
      </c>
      <c r="L1" s="4" t="s">
        <v>16</v>
      </c>
    </row>
    <row r="2" spans="1:12" x14ac:dyDescent="0.35">
      <c r="A2" s="1" t="s">
        <v>26</v>
      </c>
      <c r="B2" s="13" t="s">
        <v>23</v>
      </c>
      <c r="C2" s="2" t="s">
        <v>5</v>
      </c>
      <c r="D2" s="2" t="s">
        <v>29</v>
      </c>
      <c r="E2" s="15" t="s">
        <v>31</v>
      </c>
      <c r="F2" s="16" t="s">
        <v>33</v>
      </c>
      <c r="G2" s="1">
        <v>0</v>
      </c>
      <c r="H2" s="1">
        <v>2</v>
      </c>
      <c r="I2" s="1">
        <v>5</v>
      </c>
      <c r="J2" s="1">
        <v>0</v>
      </c>
      <c r="K2" s="1">
        <v>0</v>
      </c>
      <c r="L2" s="1">
        <v>0</v>
      </c>
    </row>
    <row r="3" spans="1:12" x14ac:dyDescent="0.35">
      <c r="A3" s="1" t="s">
        <v>27</v>
      </c>
      <c r="B3" s="13" t="s">
        <v>24</v>
      </c>
      <c r="C3" s="2" t="s">
        <v>5</v>
      </c>
      <c r="D3" s="2" t="s">
        <v>30</v>
      </c>
      <c r="E3" s="15" t="s">
        <v>31</v>
      </c>
      <c r="F3" s="16" t="s">
        <v>33</v>
      </c>
      <c r="G3" s="1">
        <v>1</v>
      </c>
      <c r="H3" s="1">
        <v>2</v>
      </c>
      <c r="I3" s="1">
        <v>5</v>
      </c>
      <c r="J3" s="1">
        <v>0</v>
      </c>
      <c r="K3" s="1">
        <v>0</v>
      </c>
      <c r="L3" s="1">
        <v>0</v>
      </c>
    </row>
    <row r="4" spans="1:12" x14ac:dyDescent="0.35">
      <c r="A4" s="1" t="s">
        <v>28</v>
      </c>
      <c r="B4" s="13" t="s">
        <v>25</v>
      </c>
      <c r="C4" s="2" t="s">
        <v>5</v>
      </c>
      <c r="D4" s="2" t="s">
        <v>30</v>
      </c>
      <c r="E4" s="15" t="s">
        <v>32</v>
      </c>
      <c r="F4" s="16" t="s">
        <v>33</v>
      </c>
      <c r="G4" s="1">
        <v>1</v>
      </c>
      <c r="H4" s="1">
        <v>1</v>
      </c>
      <c r="I4" s="1">
        <v>17</v>
      </c>
      <c r="J4" s="1">
        <v>0</v>
      </c>
      <c r="K4" s="1">
        <v>0</v>
      </c>
      <c r="L4" s="1">
        <v>0</v>
      </c>
    </row>
    <row r="5" spans="1:12" x14ac:dyDescent="0.35">
      <c r="A5" s="1"/>
      <c r="B5" s="13"/>
      <c r="C5" s="2"/>
      <c r="D5" s="2"/>
      <c r="E5" s="13"/>
      <c r="F5" s="16"/>
      <c r="G5" s="1"/>
      <c r="H5" s="1"/>
      <c r="I5" s="1"/>
      <c r="J5" s="1"/>
      <c r="K5" s="1"/>
      <c r="L5" s="1"/>
    </row>
    <row r="6" spans="1:12" x14ac:dyDescent="0.35">
      <c r="A6" s="1"/>
      <c r="B6" s="13"/>
      <c r="C6" s="2"/>
      <c r="D6" s="2"/>
      <c r="E6" s="13"/>
      <c r="F6" s="16"/>
      <c r="G6" s="1"/>
      <c r="H6" s="1"/>
      <c r="I6" s="1"/>
      <c r="J6" s="1"/>
      <c r="K6" s="1"/>
      <c r="L6" s="1"/>
    </row>
    <row r="7" spans="1:12" x14ac:dyDescent="0.35">
      <c r="A7" s="1"/>
      <c r="B7" s="13"/>
      <c r="C7" s="2"/>
      <c r="D7" s="2"/>
      <c r="E7" s="15"/>
      <c r="F7" s="16"/>
      <c r="G7" s="1"/>
      <c r="H7" s="1"/>
      <c r="I7" s="1"/>
      <c r="J7" s="1"/>
      <c r="K7" s="1"/>
      <c r="L7" s="1"/>
    </row>
    <row r="8" spans="1:12" x14ac:dyDescent="0.35">
      <c r="A8" s="1"/>
      <c r="B8" s="13"/>
      <c r="C8" s="2"/>
      <c r="D8" s="2"/>
      <c r="E8" s="15"/>
      <c r="F8" s="16"/>
      <c r="G8" s="1"/>
      <c r="H8" s="1"/>
      <c r="I8" s="1"/>
      <c r="J8" s="1"/>
      <c r="K8" s="1"/>
      <c r="L8" s="1"/>
    </row>
    <row r="9" spans="1:12" x14ac:dyDescent="0.35">
      <c r="A9" s="1"/>
      <c r="B9" s="13"/>
      <c r="C9" s="2"/>
      <c r="D9" s="2"/>
      <c r="E9" s="15"/>
      <c r="F9" s="16"/>
      <c r="G9" s="1"/>
      <c r="H9" s="1"/>
      <c r="I9" s="1"/>
      <c r="J9" s="1"/>
      <c r="K9" s="1"/>
      <c r="L9" s="1"/>
    </row>
    <row r="10" spans="1:12" x14ac:dyDescent="0.35">
      <c r="A10" s="1"/>
      <c r="B10" s="13"/>
      <c r="C10" s="2"/>
      <c r="D10" s="2"/>
      <c r="E10" s="15"/>
      <c r="F10" s="16"/>
      <c r="G10" s="1"/>
      <c r="H10" s="1"/>
      <c r="I10" s="1"/>
      <c r="J10" s="1"/>
      <c r="K10" s="1"/>
      <c r="L10" s="1"/>
    </row>
    <row r="11" spans="1:12" x14ac:dyDescent="0.35">
      <c r="A11" s="1"/>
      <c r="B11" s="13"/>
      <c r="C11" s="2"/>
      <c r="D11" s="2"/>
      <c r="E11" s="15"/>
      <c r="F11" s="16"/>
      <c r="G11" s="1"/>
      <c r="H11" s="1"/>
      <c r="I11" s="1"/>
      <c r="J11" s="1"/>
      <c r="K11" s="1"/>
      <c r="L11" s="1"/>
    </row>
    <row r="12" spans="1:12" x14ac:dyDescent="0.35">
      <c r="A12" s="1"/>
      <c r="B12" s="13"/>
      <c r="C12" s="2"/>
      <c r="D12" s="2"/>
      <c r="E12" s="15"/>
      <c r="F12" s="16"/>
      <c r="G12" s="1"/>
      <c r="H12" s="1"/>
      <c r="I12" s="1"/>
      <c r="J12" s="1"/>
      <c r="K12" s="1"/>
      <c r="L12" s="1"/>
    </row>
    <row r="13" spans="1:12" x14ac:dyDescent="0.35">
      <c r="A13" s="1"/>
      <c r="B13" s="13"/>
      <c r="C13" s="2"/>
      <c r="D13" s="2"/>
      <c r="E13" s="15"/>
      <c r="F13" s="16"/>
      <c r="G13" s="1"/>
      <c r="H13" s="1"/>
      <c r="I13" s="1"/>
      <c r="J13" s="1"/>
      <c r="K13" s="1"/>
      <c r="L13" s="1"/>
    </row>
    <row r="14" spans="1:12" x14ac:dyDescent="0.35">
      <c r="A14" s="1"/>
      <c r="B14" s="13"/>
      <c r="C14" s="2"/>
      <c r="D14" s="2"/>
      <c r="E14" s="15"/>
      <c r="F14" s="16"/>
      <c r="G14" s="1"/>
      <c r="H14" s="1"/>
      <c r="I14" s="1"/>
      <c r="J14" s="1"/>
      <c r="K14" s="1"/>
      <c r="L14" s="1"/>
    </row>
    <row r="15" spans="1:12" x14ac:dyDescent="0.35">
      <c r="A15" s="1"/>
      <c r="B15" s="13"/>
      <c r="C15" s="2"/>
      <c r="D15" s="2"/>
      <c r="E15" s="15"/>
      <c r="F15" s="16"/>
      <c r="G15" s="1"/>
      <c r="H15" s="1"/>
      <c r="I15" s="1"/>
      <c r="J15" s="1"/>
      <c r="K15" s="1"/>
      <c r="L15" s="1"/>
    </row>
    <row r="16" spans="1:12" x14ac:dyDescent="0.35">
      <c r="A16" s="1"/>
      <c r="B16" s="13"/>
      <c r="C16" s="2"/>
      <c r="D16" s="2"/>
      <c r="E16" s="15"/>
      <c r="F16" s="16"/>
      <c r="G16" s="1"/>
      <c r="H16" s="1"/>
      <c r="I16" s="1"/>
      <c r="J16" s="1"/>
      <c r="K16" s="1"/>
      <c r="L16" s="1"/>
    </row>
    <row r="17" spans="1:12" x14ac:dyDescent="0.35">
      <c r="A17" s="1"/>
      <c r="B17" s="13"/>
      <c r="C17" s="2"/>
      <c r="D17" s="2"/>
      <c r="E17" s="15"/>
      <c r="F17" s="16"/>
      <c r="G17" s="1"/>
      <c r="H17" s="1"/>
      <c r="I17" s="1"/>
      <c r="J17" s="1"/>
      <c r="K17" s="1"/>
      <c r="L17" s="1"/>
    </row>
    <row r="18" spans="1:12" x14ac:dyDescent="0.35">
      <c r="A18" s="1"/>
      <c r="B18" s="13"/>
      <c r="C18" s="2"/>
      <c r="D18" s="2"/>
      <c r="E18" s="15"/>
      <c r="F18" s="16"/>
      <c r="G18" s="1"/>
      <c r="H18" s="1"/>
      <c r="I18" s="1"/>
      <c r="J18" s="1"/>
      <c r="K18" s="1"/>
      <c r="L18" s="1"/>
    </row>
    <row r="19" spans="1:12" x14ac:dyDescent="0.35">
      <c r="A19" s="1"/>
      <c r="B19" s="13"/>
      <c r="C19" s="2"/>
      <c r="D19" s="2"/>
      <c r="E19" s="15"/>
      <c r="F19" s="16"/>
      <c r="G19" s="1"/>
      <c r="H19" s="1"/>
      <c r="I19" s="1"/>
      <c r="J19" s="1"/>
      <c r="K19" s="1"/>
      <c r="L19" s="1"/>
    </row>
    <row r="20" spans="1:12" x14ac:dyDescent="0.35">
      <c r="B20" s="13"/>
    </row>
    <row r="21" spans="1:12" x14ac:dyDescent="0.35">
      <c r="B21" s="13"/>
    </row>
    <row r="22" spans="1:12" x14ac:dyDescent="0.35">
      <c r="B22" s="13"/>
    </row>
    <row r="23" spans="1:12" x14ac:dyDescent="0.35">
      <c r="B23" s="13"/>
    </row>
    <row r="24" spans="1:12" x14ac:dyDescent="0.35">
      <c r="B24" s="13"/>
    </row>
    <row r="25" spans="1:12" x14ac:dyDescent="0.35">
      <c r="B25" s="13"/>
    </row>
    <row r="26" spans="1:12" x14ac:dyDescent="0.35">
      <c r="B26" s="13"/>
    </row>
    <row r="27" spans="1:12" x14ac:dyDescent="0.35">
      <c r="B27" s="13"/>
    </row>
    <row r="28" spans="1:12" x14ac:dyDescent="0.35">
      <c r="B28" s="13"/>
    </row>
  </sheetData>
  <conditionalFormatting sqref="A2:L2 F2:F4 D2:D5 G2:L19 B2:B28 C3:L5 A3:A19 C5:E6 F6:L6 C7:L19">
    <cfRule type="expression" dxfId="98" priority="1">
      <formula>IF($G2=1,1,0)=1</formula>
    </cfRule>
  </conditionalFormatting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S137"/>
  <sheetViews>
    <sheetView zoomScale="70" zoomScaleNormal="70" workbookViewId="0">
      <pane xSplit="1" ySplit="1" topLeftCell="B112" activePane="bottomRight" state="frozen"/>
      <selection pane="topRight" activeCell="B1" sqref="B1"/>
      <selection pane="bottomLeft" activeCell="A2" sqref="A2"/>
      <selection pane="bottomRight" activeCell="J130" sqref="J130"/>
    </sheetView>
  </sheetViews>
  <sheetFormatPr defaultColWidth="9.08984375" defaultRowHeight="14.5" x14ac:dyDescent="0.35"/>
  <cols>
    <col min="1" max="1" width="14.453125" style="1" customWidth="1"/>
    <col min="2" max="2" width="11.1796875" style="1" customWidth="1"/>
    <col min="3" max="3" width="16.36328125" style="1" customWidth="1"/>
    <col min="4" max="18" width="9.08984375" style="1" customWidth="1"/>
    <col min="19" max="19" width="10.81640625" style="1" bestFit="1" customWidth="1"/>
    <col min="20" max="16384" width="9.08984375" style="1"/>
  </cols>
  <sheetData>
    <row r="1" spans="1:4" s="23" customFormat="1" ht="85.25" customHeight="1" x14ac:dyDescent="0.35">
      <c r="A1" s="27" t="str" cm="1">
        <f t="array" aca="1" ref="A1:D1" ca="1">TRANSPOSE(INDIRECT("InfoQ!A1:A" &amp; Settings!$B$4))</f>
        <v>Indicator Code</v>
      </c>
      <c r="B1" s="23" t="str">
        <f ca="1"/>
        <v>RGDP_level</v>
      </c>
      <c r="C1" s="23" t="str">
        <f ca="1"/>
        <v>RGDP_growth</v>
      </c>
      <c r="D1" s="23" t="str">
        <f ca="1"/>
        <v>Bus_Act</v>
      </c>
    </row>
    <row r="2" spans="1:4" x14ac:dyDescent="0.35">
      <c r="A2" s="33">
        <f>DATE(Settings!$B$2,3,1)</f>
        <v>34029</v>
      </c>
      <c r="B2" s="25">
        <v>804188.20000135479</v>
      </c>
      <c r="C2" s="25"/>
      <c r="D2" s="25"/>
    </row>
    <row r="3" spans="1:4" x14ac:dyDescent="0.35">
      <c r="A3" s="33">
        <f>DATE(YEAR(A2),MONTH(A2)+3,1)</f>
        <v>34121</v>
      </c>
      <c r="B3" s="25">
        <v>812901.6942753921</v>
      </c>
      <c r="C3" s="25"/>
      <c r="D3" s="25"/>
    </row>
    <row r="4" spans="1:4" x14ac:dyDescent="0.35">
      <c r="A4" s="33">
        <f t="shared" ref="A4:A67" si="0">DATE(YEAR(A3),MONTH(A3)+3,1)</f>
        <v>34213</v>
      </c>
      <c r="B4" s="25">
        <v>873050.38570445066</v>
      </c>
      <c r="C4" s="25"/>
      <c r="D4" s="25"/>
    </row>
    <row r="5" spans="1:4" x14ac:dyDescent="0.35">
      <c r="A5" s="33">
        <f t="shared" si="0"/>
        <v>34304</v>
      </c>
      <c r="B5" s="25">
        <v>886951.13715878455</v>
      </c>
      <c r="C5" s="25"/>
      <c r="D5" s="25"/>
    </row>
    <row r="6" spans="1:4" x14ac:dyDescent="0.35">
      <c r="A6" s="33">
        <f t="shared" si="0"/>
        <v>34394</v>
      </c>
      <c r="B6" s="25">
        <v>876642.77686575672</v>
      </c>
      <c r="C6" s="25">
        <v>9.0096543152809083</v>
      </c>
      <c r="D6" s="25"/>
    </row>
    <row r="7" spans="1:4" x14ac:dyDescent="0.35">
      <c r="A7" s="33">
        <f t="shared" si="0"/>
        <v>34486</v>
      </c>
      <c r="B7" s="25">
        <v>900024.0411174515</v>
      </c>
      <c r="C7" s="25">
        <v>10.717451747928623</v>
      </c>
      <c r="D7" s="25"/>
    </row>
    <row r="8" spans="1:4" x14ac:dyDescent="0.35">
      <c r="A8" s="33">
        <f t="shared" si="0"/>
        <v>34578</v>
      </c>
      <c r="B8" s="25">
        <v>933356.06503688078</v>
      </c>
      <c r="C8" s="25">
        <v>6.9074683798198446</v>
      </c>
      <c r="D8" s="25"/>
    </row>
    <row r="9" spans="1:4" x14ac:dyDescent="0.35">
      <c r="A9" s="33">
        <f t="shared" si="0"/>
        <v>34669</v>
      </c>
      <c r="B9" s="25">
        <v>921699.22678455757</v>
      </c>
      <c r="C9" s="25">
        <v>3.9177005553071762</v>
      </c>
      <c r="D9" s="25"/>
    </row>
    <row r="10" spans="1:4" x14ac:dyDescent="0.35">
      <c r="A10" s="33">
        <f t="shared" si="0"/>
        <v>34759</v>
      </c>
      <c r="B10" s="25">
        <v>947897.67122004763</v>
      </c>
      <c r="C10" s="25">
        <v>8.128156215356853</v>
      </c>
      <c r="D10" s="25"/>
    </row>
    <row r="11" spans="1:4" x14ac:dyDescent="0.35">
      <c r="A11" s="33">
        <f t="shared" si="0"/>
        <v>34851</v>
      </c>
      <c r="B11" s="25">
        <v>966099.25631156913</v>
      </c>
      <c r="C11" s="25">
        <v>7.3414944685344166</v>
      </c>
      <c r="D11" s="25"/>
    </row>
    <row r="12" spans="1:4" x14ac:dyDescent="0.35">
      <c r="A12" s="33">
        <f t="shared" si="0"/>
        <v>34943</v>
      </c>
      <c r="B12" s="25">
        <v>1006583.2927368602</v>
      </c>
      <c r="C12" s="25">
        <v>7.8455833141327398</v>
      </c>
      <c r="D12" s="25"/>
    </row>
    <row r="13" spans="1:4" x14ac:dyDescent="0.35">
      <c r="A13" s="33">
        <f t="shared" si="0"/>
        <v>35034</v>
      </c>
      <c r="B13" s="25">
        <v>1009670.8239088495</v>
      </c>
      <c r="C13" s="25">
        <v>9.5445015649182974</v>
      </c>
      <c r="D13" s="25"/>
    </row>
    <row r="14" spans="1:4" x14ac:dyDescent="0.35">
      <c r="A14" s="33">
        <f t="shared" si="0"/>
        <v>35125</v>
      </c>
      <c r="B14" s="25">
        <v>1002293.518912826</v>
      </c>
      <c r="C14" s="25">
        <v>5.7385780495446248</v>
      </c>
      <c r="D14" s="25"/>
    </row>
    <row r="15" spans="1:4" x14ac:dyDescent="0.35">
      <c r="A15" s="33">
        <f t="shared" si="0"/>
        <v>35217</v>
      </c>
      <c r="B15" s="25">
        <v>1030557.4858603897</v>
      </c>
      <c r="C15" s="25">
        <v>6.6720090226456614</v>
      </c>
      <c r="D15" s="25"/>
    </row>
    <row r="16" spans="1:4" x14ac:dyDescent="0.35">
      <c r="A16" s="33">
        <f t="shared" si="0"/>
        <v>35309</v>
      </c>
      <c r="B16" s="25">
        <v>1091255.3789370558</v>
      </c>
      <c r="C16" s="25">
        <v>8.4118310736089743</v>
      </c>
      <c r="D16" s="25"/>
    </row>
    <row r="17" spans="1:4" x14ac:dyDescent="0.35">
      <c r="A17" s="33">
        <f t="shared" si="0"/>
        <v>35400</v>
      </c>
      <c r="B17" s="25">
        <v>1113420.063741877</v>
      </c>
      <c r="C17" s="25">
        <v>10.275550939599468</v>
      </c>
      <c r="D17" s="25"/>
    </row>
    <row r="18" spans="1:4" x14ac:dyDescent="0.35">
      <c r="A18" s="33">
        <f t="shared" si="0"/>
        <v>35490</v>
      </c>
      <c r="B18" s="25">
        <v>1077933.4243710828</v>
      </c>
      <c r="C18" s="25">
        <v>7.5466820877283931</v>
      </c>
      <c r="D18" s="25"/>
    </row>
    <row r="19" spans="1:4" x14ac:dyDescent="0.35">
      <c r="A19" s="33">
        <f t="shared" si="0"/>
        <v>35582</v>
      </c>
      <c r="B19" s="25">
        <v>1084139.2084182655</v>
      </c>
      <c r="C19" s="25">
        <v>5.199294876126352</v>
      </c>
      <c r="D19" s="25"/>
    </row>
    <row r="20" spans="1:4" x14ac:dyDescent="0.35">
      <c r="A20" s="33">
        <f t="shared" si="0"/>
        <v>35674</v>
      </c>
      <c r="B20" s="25">
        <v>1149121.7550350984</v>
      </c>
      <c r="C20" s="25">
        <v>5.3027345582853114</v>
      </c>
      <c r="D20" s="25"/>
    </row>
    <row r="21" spans="1:4" x14ac:dyDescent="0.35">
      <c r="A21" s="33">
        <f t="shared" si="0"/>
        <v>35765</v>
      </c>
      <c r="B21" s="25">
        <v>1125489.5968739057</v>
      </c>
      <c r="C21" s="25">
        <v>1.0840053565647649</v>
      </c>
      <c r="D21" s="25"/>
    </row>
    <row r="22" spans="1:4" x14ac:dyDescent="0.35">
      <c r="A22" s="33">
        <f t="shared" si="0"/>
        <v>35855</v>
      </c>
      <c r="B22" s="25">
        <v>1029542.6455978882</v>
      </c>
      <c r="C22" s="25">
        <v>-4.4892177642072939</v>
      </c>
      <c r="D22" s="25"/>
    </row>
    <row r="23" spans="1:4" x14ac:dyDescent="0.35">
      <c r="A23" s="33">
        <f t="shared" si="0"/>
        <v>35947</v>
      </c>
      <c r="B23" s="25">
        <v>939489.14105314738</v>
      </c>
      <c r="C23" s="25">
        <v>-13.342388711885004</v>
      </c>
      <c r="D23" s="25"/>
    </row>
    <row r="24" spans="1:4" x14ac:dyDescent="0.35">
      <c r="A24" s="33">
        <f t="shared" si="0"/>
        <v>36039</v>
      </c>
      <c r="B24" s="25">
        <v>965256.45758700953</v>
      </c>
      <c r="C24" s="25">
        <v>-16.000506181564109</v>
      </c>
      <c r="D24" s="25"/>
    </row>
    <row r="25" spans="1:4" x14ac:dyDescent="0.35">
      <c r="A25" s="33">
        <f t="shared" si="0"/>
        <v>36130</v>
      </c>
      <c r="B25" s="25">
        <v>920004.41282447742</v>
      </c>
      <c r="C25" s="25">
        <v>-18.257404121741505</v>
      </c>
      <c r="D25" s="25"/>
    </row>
    <row r="26" spans="1:4" x14ac:dyDescent="0.35">
      <c r="A26" s="33">
        <f t="shared" si="0"/>
        <v>36220</v>
      </c>
      <c r="B26" s="25">
        <v>966413.64174102212</v>
      </c>
      <c r="C26" s="25">
        <v>-6.1317522034461254</v>
      </c>
      <c r="D26" s="25"/>
    </row>
    <row r="27" spans="1:4" x14ac:dyDescent="0.35">
      <c r="A27" s="33">
        <f t="shared" si="0"/>
        <v>36312</v>
      </c>
      <c r="B27" s="25">
        <v>956345.11554433929</v>
      </c>
      <c r="C27" s="25">
        <v>1.7941638444374912</v>
      </c>
      <c r="D27" s="25"/>
    </row>
    <row r="28" spans="1:4" x14ac:dyDescent="0.35">
      <c r="A28" s="33">
        <f t="shared" si="0"/>
        <v>36404</v>
      </c>
      <c r="B28" s="25">
        <v>992719.61213772546</v>
      </c>
      <c r="C28" s="25">
        <v>2.8451666222849759</v>
      </c>
      <c r="D28" s="25"/>
    </row>
    <row r="29" spans="1:4" x14ac:dyDescent="0.35">
      <c r="A29" s="33">
        <f t="shared" si="0"/>
        <v>36495</v>
      </c>
      <c r="B29" s="25">
        <v>969306.60212605365</v>
      </c>
      <c r="C29" s="25">
        <v>5.3589079154756538</v>
      </c>
      <c r="D29" s="25"/>
    </row>
    <row r="30" spans="1:4" x14ac:dyDescent="0.35">
      <c r="A30" s="33">
        <f t="shared" si="0"/>
        <v>36586</v>
      </c>
      <c r="B30" s="25">
        <v>1006079.1495872845</v>
      </c>
      <c r="C30" s="25">
        <v>4.1044027249867732</v>
      </c>
      <c r="D30" s="25">
        <v>2.40068853</v>
      </c>
    </row>
    <row r="31" spans="1:4" x14ac:dyDescent="0.35">
      <c r="A31" s="33">
        <f t="shared" si="0"/>
        <v>36678</v>
      </c>
      <c r="B31" s="25">
        <v>1000247.8341697467</v>
      </c>
      <c r="C31" s="25">
        <v>4.5906773519116655</v>
      </c>
      <c r="D31" s="25">
        <v>16.884622350000001</v>
      </c>
    </row>
    <row r="32" spans="1:4" x14ac:dyDescent="0.35">
      <c r="A32" s="33">
        <f t="shared" si="0"/>
        <v>36770</v>
      </c>
      <c r="B32" s="25">
        <v>1042575.049838623</v>
      </c>
      <c r="C32" s="25">
        <v>5.022106654419642</v>
      </c>
      <c r="D32" s="25">
        <v>20.675580329999999</v>
      </c>
    </row>
    <row r="33" spans="1:4" x14ac:dyDescent="0.35">
      <c r="A33" s="33">
        <f t="shared" si="0"/>
        <v>36861</v>
      </c>
      <c r="B33" s="25">
        <v>1029291.7288339086</v>
      </c>
      <c r="C33" s="25">
        <v>6.1884574577625893</v>
      </c>
      <c r="D33" s="25">
        <v>17.688523610000001</v>
      </c>
    </row>
    <row r="34" spans="1:4" x14ac:dyDescent="0.35">
      <c r="A34" s="33">
        <f t="shared" si="0"/>
        <v>36951</v>
      </c>
      <c r="B34" s="25">
        <v>1044997.1350568376</v>
      </c>
      <c r="C34" s="25">
        <v>3.8682826779103849</v>
      </c>
      <c r="D34" s="25">
        <v>2.8215195899999999</v>
      </c>
    </row>
    <row r="35" spans="1:4" x14ac:dyDescent="0.35">
      <c r="A35" s="33">
        <f t="shared" si="0"/>
        <v>37043</v>
      </c>
      <c r="B35" s="25">
        <v>1057961.7760825139</v>
      </c>
      <c r="C35" s="25">
        <v>5.7699641969904834</v>
      </c>
      <c r="D35" s="25">
        <v>18.643691230000002</v>
      </c>
    </row>
    <row r="36" spans="1:4" x14ac:dyDescent="0.35">
      <c r="A36" s="33">
        <f t="shared" si="0"/>
        <v>37135</v>
      </c>
      <c r="B36" s="25">
        <v>1078457.0656367869</v>
      </c>
      <c r="C36" s="25">
        <v>3.4416722137862301</v>
      </c>
      <c r="D36" s="25">
        <v>13.0802044</v>
      </c>
    </row>
    <row r="37" spans="1:4" x14ac:dyDescent="0.35">
      <c r="A37" s="33">
        <f t="shared" si="0"/>
        <v>37226</v>
      </c>
      <c r="B37" s="25">
        <v>1045365.4070399802</v>
      </c>
      <c r="C37" s="25">
        <v>1.5616251210219656</v>
      </c>
      <c r="D37" s="25">
        <v>10.155509179999999</v>
      </c>
    </row>
    <row r="38" spans="1:4" x14ac:dyDescent="0.35">
      <c r="A38" s="33">
        <f t="shared" si="0"/>
        <v>37316</v>
      </c>
      <c r="B38" s="25">
        <v>1081781.7840184649</v>
      </c>
      <c r="C38" s="25">
        <v>3.5200717521227034</v>
      </c>
      <c r="D38" s="25">
        <v>-8.4736428099999994</v>
      </c>
    </row>
    <row r="39" spans="1:4" x14ac:dyDescent="0.35">
      <c r="A39" s="33">
        <f t="shared" si="0"/>
        <v>37408</v>
      </c>
      <c r="B39" s="25">
        <v>1102529.7286942403</v>
      </c>
      <c r="C39" s="25">
        <v>4.2126240871154579</v>
      </c>
      <c r="D39" s="25">
        <v>11.925476290000001</v>
      </c>
    </row>
    <row r="40" spans="1:4" x14ac:dyDescent="0.35">
      <c r="A40" s="33">
        <f t="shared" si="0"/>
        <v>37500</v>
      </c>
      <c r="B40" s="25">
        <v>1138326.0588995134</v>
      </c>
      <c r="C40" s="25">
        <v>5.5513562078965348</v>
      </c>
      <c r="D40" s="25">
        <v>11.90242254</v>
      </c>
    </row>
    <row r="41" spans="1:4" x14ac:dyDescent="0.35">
      <c r="A41" s="33">
        <f t="shared" si="0"/>
        <v>37591</v>
      </c>
      <c r="B41" s="25">
        <v>1094326.8003940263</v>
      </c>
      <c r="C41" s="25">
        <v>4.6836630544991449</v>
      </c>
      <c r="D41" s="25">
        <v>-0.50889253000000001</v>
      </c>
    </row>
    <row r="42" spans="1:4" x14ac:dyDescent="0.35">
      <c r="A42" s="33">
        <f t="shared" si="0"/>
        <v>37681</v>
      </c>
      <c r="B42" s="25">
        <v>1134876.0400104239</v>
      </c>
      <c r="C42" s="25">
        <v>4.908037533663328</v>
      </c>
      <c r="D42" s="25">
        <v>-1.5397508900000001</v>
      </c>
    </row>
    <row r="43" spans="1:4" x14ac:dyDescent="0.35">
      <c r="A43" s="33">
        <f t="shared" si="0"/>
        <v>37773</v>
      </c>
      <c r="B43" s="25">
        <v>1157989.435248839</v>
      </c>
      <c r="C43" s="25">
        <v>5.0302232321917764</v>
      </c>
      <c r="D43" s="25">
        <v>7.2483396999999998</v>
      </c>
    </row>
    <row r="44" spans="1:4" x14ac:dyDescent="0.35">
      <c r="A44" s="33">
        <f t="shared" si="0"/>
        <v>37865</v>
      </c>
      <c r="B44" s="25">
        <v>1190230.4002367766</v>
      </c>
      <c r="C44" s="25">
        <v>4.5597077332519369</v>
      </c>
      <c r="D44" s="25">
        <v>6.7991827999999996</v>
      </c>
    </row>
    <row r="45" spans="1:4" x14ac:dyDescent="0.35">
      <c r="A45" s="33">
        <f t="shared" si="0"/>
        <v>37956</v>
      </c>
      <c r="B45" s="25">
        <v>1145015.6974650132</v>
      </c>
      <c r="C45" s="25">
        <v>4.6319707287380458</v>
      </c>
      <c r="D45" s="25">
        <v>0.91114589000000001</v>
      </c>
    </row>
    <row r="46" spans="1:4" x14ac:dyDescent="0.35">
      <c r="A46" s="33">
        <f t="shared" si="0"/>
        <v>38047</v>
      </c>
      <c r="B46" s="25">
        <v>1181396.8611861456</v>
      </c>
      <c r="C46" s="25">
        <v>4.0991984618244661</v>
      </c>
      <c r="D46" s="25">
        <v>-9.25978587</v>
      </c>
    </row>
    <row r="47" spans="1:4" x14ac:dyDescent="0.35">
      <c r="A47" s="33">
        <f t="shared" si="0"/>
        <v>38139</v>
      </c>
      <c r="B47" s="25">
        <v>1208799.2311700687</v>
      </c>
      <c r="C47" s="25">
        <v>4.3877598857636642</v>
      </c>
      <c r="D47" s="25">
        <v>13.93</v>
      </c>
    </row>
    <row r="48" spans="1:4" x14ac:dyDescent="0.35">
      <c r="A48" s="33">
        <f t="shared" si="0"/>
        <v>38231</v>
      </c>
      <c r="B48" s="25">
        <v>1243768.3432713745</v>
      </c>
      <c r="C48" s="25">
        <v>4.4981159130154484</v>
      </c>
      <c r="D48" s="25">
        <v>17.04</v>
      </c>
    </row>
    <row r="49" spans="1:4" x14ac:dyDescent="0.35">
      <c r="A49" s="33">
        <f t="shared" si="0"/>
        <v>38322</v>
      </c>
      <c r="B49" s="25">
        <v>1226981.5966039193</v>
      </c>
      <c r="C49" s="25">
        <v>7.1584956713146335</v>
      </c>
      <c r="D49" s="25">
        <v>15.36</v>
      </c>
    </row>
    <row r="50" spans="1:4" x14ac:dyDescent="0.35">
      <c r="A50" s="33">
        <f t="shared" si="0"/>
        <v>38412</v>
      </c>
      <c r="B50" s="25">
        <v>1251866.8055747766</v>
      </c>
      <c r="C50" s="25">
        <v>5.9649679717176349</v>
      </c>
      <c r="D50" s="25">
        <v>-3.17</v>
      </c>
    </row>
    <row r="51" spans="1:4" x14ac:dyDescent="0.35">
      <c r="A51" s="33">
        <f t="shared" si="0"/>
        <v>38504</v>
      </c>
      <c r="B51" s="25">
        <v>1279770.9644759698</v>
      </c>
      <c r="C51" s="25">
        <v>5.8712589713680821</v>
      </c>
      <c r="D51" s="25">
        <v>8.7899999999999991</v>
      </c>
    </row>
    <row r="52" spans="1:4" x14ac:dyDescent="0.35">
      <c r="A52" s="33">
        <f t="shared" si="0"/>
        <v>38596</v>
      </c>
      <c r="B52" s="25">
        <v>1316382.1881451372</v>
      </c>
      <c r="C52" s="25">
        <v>5.838212981267306</v>
      </c>
      <c r="D52" s="25">
        <v>11.06</v>
      </c>
    </row>
    <row r="53" spans="1:4" x14ac:dyDescent="0.35">
      <c r="A53" s="33">
        <f t="shared" si="0"/>
        <v>38687</v>
      </c>
      <c r="B53" s="25">
        <v>1289638.8929613242</v>
      </c>
      <c r="C53" s="25">
        <v>5.1066207130432817</v>
      </c>
      <c r="D53" s="25">
        <v>-7.89</v>
      </c>
    </row>
    <row r="54" spans="1:4" x14ac:dyDescent="0.35">
      <c r="A54" s="33">
        <f t="shared" si="0"/>
        <v>38777</v>
      </c>
      <c r="B54" s="25">
        <v>1316052.3573012706</v>
      </c>
      <c r="C54" s="25">
        <v>5.1271869691459795</v>
      </c>
      <c r="D54" s="25">
        <v>-11.74</v>
      </c>
    </row>
    <row r="55" spans="1:4" x14ac:dyDescent="0.35">
      <c r="A55" s="33">
        <f t="shared" si="0"/>
        <v>38869</v>
      </c>
      <c r="B55" s="25">
        <v>1342906.8676895543</v>
      </c>
      <c r="C55" s="25">
        <v>4.9333751871325617</v>
      </c>
      <c r="D55" s="25">
        <v>6.15</v>
      </c>
    </row>
    <row r="56" spans="1:4" x14ac:dyDescent="0.35">
      <c r="A56" s="33">
        <f t="shared" si="0"/>
        <v>38961</v>
      </c>
      <c r="B56" s="25">
        <v>1393574.9302499413</v>
      </c>
      <c r="C56" s="25">
        <v>5.8640068818899342</v>
      </c>
      <c r="D56" s="25">
        <v>11.86</v>
      </c>
    </row>
    <row r="57" spans="1:4" x14ac:dyDescent="0.35">
      <c r="A57" s="33">
        <f t="shared" si="0"/>
        <v>39052</v>
      </c>
      <c r="B57" s="25">
        <v>1367744.8322067976</v>
      </c>
      <c r="C57" s="25">
        <v>6.0564193334866898</v>
      </c>
      <c r="D57" s="25">
        <v>9.57</v>
      </c>
    </row>
    <row r="58" spans="1:4" x14ac:dyDescent="0.35">
      <c r="A58" s="33">
        <f t="shared" si="0"/>
        <v>39142</v>
      </c>
      <c r="B58" s="25">
        <v>1395741.1324647292</v>
      </c>
      <c r="C58" s="25">
        <v>6.0551371471930207</v>
      </c>
      <c r="D58" s="25">
        <v>-0.24</v>
      </c>
    </row>
    <row r="59" spans="1:4" x14ac:dyDescent="0.35">
      <c r="A59" s="33">
        <f t="shared" si="0"/>
        <v>39234</v>
      </c>
      <c r="B59" s="25">
        <v>1433241.4908820414</v>
      </c>
      <c r="C59" s="25">
        <v>6.7267973204952067</v>
      </c>
      <c r="D59" s="25">
        <v>17.23</v>
      </c>
    </row>
    <row r="60" spans="1:4" x14ac:dyDescent="0.35">
      <c r="A60" s="33">
        <f t="shared" si="0"/>
        <v>39326</v>
      </c>
      <c r="B60" s="25">
        <v>1487563.5808098756</v>
      </c>
      <c r="C60" s="25">
        <v>6.7444274807008195</v>
      </c>
      <c r="D60" s="25">
        <v>21.99</v>
      </c>
    </row>
    <row r="61" spans="1:4" x14ac:dyDescent="0.35">
      <c r="A61" s="33">
        <f t="shared" si="0"/>
        <v>39417</v>
      </c>
      <c r="B61" s="25">
        <v>1447650.6897921476</v>
      </c>
      <c r="C61" s="25">
        <v>5.8421611768348178</v>
      </c>
      <c r="D61" s="25">
        <v>15.25</v>
      </c>
    </row>
    <row r="62" spans="1:4" x14ac:dyDescent="0.35">
      <c r="A62" s="33">
        <f t="shared" si="0"/>
        <v>39508</v>
      </c>
      <c r="B62" s="25">
        <v>1482533.2935725306</v>
      </c>
      <c r="C62" s="25">
        <v>6.2183566199368014</v>
      </c>
      <c r="D62" s="25">
        <v>5.7</v>
      </c>
    </row>
    <row r="63" spans="1:4" x14ac:dyDescent="0.35">
      <c r="A63" s="33">
        <f t="shared" si="0"/>
        <v>39600</v>
      </c>
      <c r="B63" s="25">
        <v>1523573.7037594591</v>
      </c>
      <c r="C63" s="25">
        <v>6.3026512595463364</v>
      </c>
      <c r="D63" s="25">
        <v>16.55</v>
      </c>
    </row>
    <row r="64" spans="1:4" x14ac:dyDescent="0.35">
      <c r="A64" s="33">
        <f t="shared" si="0"/>
        <v>39692</v>
      </c>
      <c r="B64" s="25">
        <v>1580608.675186777</v>
      </c>
      <c r="C64" s="25">
        <v>6.25486504087743</v>
      </c>
      <c r="D64" s="25">
        <v>18.09</v>
      </c>
    </row>
    <row r="65" spans="1:4" x14ac:dyDescent="0.35">
      <c r="A65" s="33">
        <f t="shared" si="0"/>
        <v>39783</v>
      </c>
      <c r="B65" s="25">
        <v>1524122.9375577483</v>
      </c>
      <c r="C65" s="25">
        <v>5.2825069130855384</v>
      </c>
      <c r="D65" s="25">
        <v>-1.56</v>
      </c>
    </row>
    <row r="66" spans="1:4" x14ac:dyDescent="0.35">
      <c r="A66" s="33">
        <f t="shared" si="0"/>
        <v>39873</v>
      </c>
      <c r="B66" s="25">
        <v>1549549.1192537602</v>
      </c>
      <c r="C66" s="25">
        <v>4.52035889998385</v>
      </c>
      <c r="D66" s="25">
        <v>-7.68</v>
      </c>
    </row>
    <row r="67" spans="1:4" x14ac:dyDescent="0.35">
      <c r="A67" s="33">
        <f t="shared" si="0"/>
        <v>39965</v>
      </c>
      <c r="B67" s="25">
        <v>1586585.4208558018</v>
      </c>
      <c r="C67" s="25">
        <v>4.135783975587108</v>
      </c>
      <c r="D67" s="25">
        <v>15.85</v>
      </c>
    </row>
    <row r="68" spans="1:4" x14ac:dyDescent="0.35">
      <c r="A68" s="33">
        <f t="shared" ref="A68:A131" si="1">DATE(YEAR(A67),MONTH(A67)+3,1)</f>
        <v>40057</v>
      </c>
      <c r="B68" s="25">
        <v>1648088.903273257</v>
      </c>
      <c r="C68" s="25">
        <v>4.2692558345288063</v>
      </c>
      <c r="D68" s="25">
        <v>18.54</v>
      </c>
    </row>
    <row r="69" spans="1:4" x14ac:dyDescent="0.35">
      <c r="A69" s="33">
        <f t="shared" si="1"/>
        <v>40148</v>
      </c>
      <c r="B69" s="25">
        <v>1609478.0141283767</v>
      </c>
      <c r="C69" s="25">
        <v>5.6002750478515368</v>
      </c>
      <c r="D69" s="25">
        <v>14.89</v>
      </c>
    </row>
    <row r="70" spans="1:4" x14ac:dyDescent="0.35">
      <c r="A70" s="33">
        <f t="shared" si="1"/>
        <v>40238</v>
      </c>
      <c r="B70" s="25">
        <v>1642356.3</v>
      </c>
      <c r="C70" s="25">
        <v>5.989302281100608</v>
      </c>
      <c r="D70" s="25">
        <v>4.42</v>
      </c>
    </row>
    <row r="71" spans="1:4" x14ac:dyDescent="0.35">
      <c r="A71" s="33">
        <f t="shared" si="1"/>
        <v>40330</v>
      </c>
      <c r="B71" s="25">
        <v>1709132</v>
      </c>
      <c r="C71" s="25">
        <v>7.723919401584868</v>
      </c>
      <c r="D71" s="25">
        <v>12.39</v>
      </c>
    </row>
    <row r="72" spans="1:4" x14ac:dyDescent="0.35">
      <c r="A72" s="33">
        <f t="shared" si="1"/>
        <v>40422</v>
      </c>
      <c r="B72" s="25">
        <v>1775109.9</v>
      </c>
      <c r="C72" s="25">
        <v>7.7071689806579915</v>
      </c>
      <c r="D72" s="25">
        <v>14.39</v>
      </c>
    </row>
    <row r="73" spans="1:4" x14ac:dyDescent="0.35">
      <c r="A73" s="33">
        <f t="shared" si="1"/>
        <v>40513</v>
      </c>
      <c r="B73" s="25">
        <v>1737534.9</v>
      </c>
      <c r="C73" s="25">
        <v>7.9564234334057193</v>
      </c>
      <c r="D73" s="25">
        <v>12.7</v>
      </c>
    </row>
    <row r="74" spans="1:4" x14ac:dyDescent="0.35">
      <c r="A74" s="33">
        <f t="shared" si="1"/>
        <v>40603</v>
      </c>
      <c r="B74" s="25">
        <v>1748731.2</v>
      </c>
      <c r="C74" s="25">
        <v>6.4769684872886533</v>
      </c>
      <c r="D74" s="25">
        <v>1.78</v>
      </c>
    </row>
    <row r="75" spans="1:4" x14ac:dyDescent="0.35">
      <c r="A75" s="33">
        <f t="shared" si="1"/>
        <v>40695</v>
      </c>
      <c r="B75" s="25">
        <v>1816268.2</v>
      </c>
      <c r="C75" s="25">
        <v>6.2684567371039783</v>
      </c>
      <c r="D75" s="25">
        <v>9.33</v>
      </c>
    </row>
    <row r="76" spans="1:4" x14ac:dyDescent="0.35">
      <c r="A76" s="33">
        <f t="shared" si="1"/>
        <v>40787</v>
      </c>
      <c r="B76" s="25">
        <v>1881849.7</v>
      </c>
      <c r="C76" s="25">
        <v>6.0131375527791295</v>
      </c>
      <c r="D76" s="25">
        <v>12.178199770000001</v>
      </c>
    </row>
    <row r="77" spans="1:4" x14ac:dyDescent="0.35">
      <c r="A77" s="33">
        <f t="shared" si="1"/>
        <v>40878</v>
      </c>
      <c r="B77" s="25">
        <v>1840786.2</v>
      </c>
      <c r="C77" s="25">
        <v>5.9424015022662307</v>
      </c>
      <c r="D77" s="25">
        <v>11.17</v>
      </c>
    </row>
    <row r="78" spans="1:4" x14ac:dyDescent="0.35">
      <c r="A78" s="33">
        <f t="shared" si="1"/>
        <v>40969</v>
      </c>
      <c r="B78" s="25">
        <v>1855580.2</v>
      </c>
      <c r="C78" s="25">
        <v>6.1100871306007463</v>
      </c>
      <c r="D78" s="25">
        <v>6.06</v>
      </c>
    </row>
    <row r="79" spans="1:4" x14ac:dyDescent="0.35">
      <c r="A79" s="33">
        <f t="shared" si="1"/>
        <v>41061</v>
      </c>
      <c r="B79" s="25">
        <v>1929018.7</v>
      </c>
      <c r="C79" s="25">
        <v>6.2078111591669112</v>
      </c>
      <c r="D79" s="25">
        <v>16.065323060000001</v>
      </c>
    </row>
    <row r="80" spans="1:4" x14ac:dyDescent="0.35">
      <c r="A80" s="33">
        <f t="shared" si="1"/>
        <v>41153</v>
      </c>
      <c r="B80" s="25">
        <v>1993632.3</v>
      </c>
      <c r="C80" s="25">
        <v>5.9400386757773527</v>
      </c>
      <c r="D80" s="25">
        <v>16.530766660000001</v>
      </c>
    </row>
    <row r="81" spans="1:4" x14ac:dyDescent="0.35">
      <c r="A81" s="33">
        <f t="shared" si="1"/>
        <v>41244</v>
      </c>
      <c r="B81" s="25">
        <v>1948852.2</v>
      </c>
      <c r="C81" s="25">
        <v>5.870643749936848</v>
      </c>
      <c r="D81" s="25">
        <v>11.893087209999999</v>
      </c>
    </row>
    <row r="82" spans="1:4" x14ac:dyDescent="0.35">
      <c r="A82" s="33">
        <f t="shared" si="1"/>
        <v>41334</v>
      </c>
      <c r="B82" s="25">
        <v>1958395.5</v>
      </c>
      <c r="C82" s="25">
        <v>5.5408707206511494</v>
      </c>
      <c r="D82" s="25">
        <v>5.09885754</v>
      </c>
    </row>
    <row r="83" spans="1:4" x14ac:dyDescent="0.35">
      <c r="A83" s="33">
        <f t="shared" si="1"/>
        <v>41426</v>
      </c>
      <c r="B83" s="25">
        <v>2036816.6</v>
      </c>
      <c r="C83" s="25">
        <v>5.5882247279406956</v>
      </c>
      <c r="D83" s="25">
        <v>18.616900000000001</v>
      </c>
    </row>
    <row r="84" spans="1:4" x14ac:dyDescent="0.35">
      <c r="A84" s="33">
        <f t="shared" si="1"/>
        <v>41518</v>
      </c>
      <c r="B84" s="25">
        <v>2103598.1</v>
      </c>
      <c r="C84" s="25">
        <v>5.5158516442575714</v>
      </c>
      <c r="D84" s="25">
        <v>13.35</v>
      </c>
    </row>
    <row r="85" spans="1:4" x14ac:dyDescent="0.35">
      <c r="A85" s="33">
        <f t="shared" si="1"/>
        <v>41609</v>
      </c>
      <c r="B85" s="25">
        <v>2057687.6</v>
      </c>
      <c r="C85" s="25">
        <v>5.5845897395400304</v>
      </c>
      <c r="D85" s="25">
        <v>12.61125479</v>
      </c>
    </row>
    <row r="86" spans="1:4" x14ac:dyDescent="0.35">
      <c r="A86" s="33">
        <f t="shared" si="1"/>
        <v>41699</v>
      </c>
      <c r="B86" s="25">
        <v>2058584.9</v>
      </c>
      <c r="C86" s="25">
        <v>5.1158920657242071</v>
      </c>
      <c r="D86" s="25">
        <v>2.1147547800000002</v>
      </c>
    </row>
    <row r="87" spans="1:4" x14ac:dyDescent="0.35">
      <c r="A87" s="33">
        <f t="shared" si="1"/>
        <v>41791</v>
      </c>
      <c r="B87" s="25">
        <v>2137385.6</v>
      </c>
      <c r="C87" s="25">
        <v>4.9375579519530621</v>
      </c>
      <c r="D87" s="25">
        <v>21.05095987</v>
      </c>
    </row>
    <row r="88" spans="1:4" x14ac:dyDescent="0.35">
      <c r="A88" s="33">
        <f t="shared" si="1"/>
        <v>41883</v>
      </c>
      <c r="B88" s="25">
        <v>2207343.6</v>
      </c>
      <c r="C88" s="25">
        <v>4.9318118323077016</v>
      </c>
      <c r="D88" s="25">
        <v>11.248825890000001</v>
      </c>
    </row>
    <row r="89" spans="1:4" x14ac:dyDescent="0.35">
      <c r="A89" s="33">
        <f t="shared" si="1"/>
        <v>41974</v>
      </c>
      <c r="B89" s="25">
        <v>2161552.5</v>
      </c>
      <c r="C89" s="25">
        <v>5.0476515482719488</v>
      </c>
      <c r="D89" s="25">
        <v>11.1251704</v>
      </c>
    </row>
    <row r="90" spans="1:4" x14ac:dyDescent="0.35">
      <c r="A90" s="33">
        <f t="shared" si="1"/>
        <v>42064</v>
      </c>
      <c r="B90" s="25">
        <v>2158040</v>
      </c>
      <c r="C90" s="25">
        <v>4.831236253603147</v>
      </c>
      <c r="D90" s="25">
        <v>4.8315996600000002</v>
      </c>
    </row>
    <row r="91" spans="1:4" x14ac:dyDescent="0.35">
      <c r="A91" s="33">
        <f t="shared" si="1"/>
        <v>42156</v>
      </c>
      <c r="B91" s="25">
        <v>2238704.4</v>
      </c>
      <c r="C91" s="25">
        <v>4.7403145225643799</v>
      </c>
      <c r="D91" s="25">
        <v>11.90514797</v>
      </c>
    </row>
    <row r="92" spans="1:4" x14ac:dyDescent="0.35">
      <c r="A92" s="33">
        <f t="shared" si="1"/>
        <v>42248</v>
      </c>
      <c r="B92" s="25">
        <v>2312843.5</v>
      </c>
      <c r="C92" s="25">
        <v>4.779496042211095</v>
      </c>
      <c r="D92" s="25">
        <v>5.0594728800000004</v>
      </c>
    </row>
    <row r="93" spans="1:4" x14ac:dyDescent="0.35">
      <c r="A93" s="33">
        <f t="shared" si="1"/>
        <v>42339</v>
      </c>
      <c r="B93" s="25">
        <v>2272929.2000000002</v>
      </c>
      <c r="C93" s="25">
        <v>5.1526252543021824</v>
      </c>
      <c r="D93" s="25">
        <v>3.0205362500000001</v>
      </c>
    </row>
    <row r="94" spans="1:4" x14ac:dyDescent="0.35">
      <c r="A94" s="33">
        <f t="shared" si="1"/>
        <v>42430</v>
      </c>
      <c r="B94" s="25">
        <v>2264721</v>
      </c>
      <c r="C94" s="25">
        <v>4.9434208819113641</v>
      </c>
      <c r="D94" s="25">
        <v>5.7987080899999999</v>
      </c>
    </row>
    <row r="95" spans="1:4" x14ac:dyDescent="0.35">
      <c r="A95" s="33">
        <f t="shared" si="1"/>
        <v>42522</v>
      </c>
      <c r="B95" s="25">
        <v>2355445</v>
      </c>
      <c r="C95" s="25">
        <v>5.2146500449099085</v>
      </c>
      <c r="D95" s="25">
        <v>18.398089299999999</v>
      </c>
    </row>
    <row r="96" spans="1:4" x14ac:dyDescent="0.35">
      <c r="A96" s="33">
        <f t="shared" si="1"/>
        <v>42614</v>
      </c>
      <c r="B96" s="25">
        <v>2429260.6</v>
      </c>
      <c r="C96" s="25">
        <v>5.0335052933758853</v>
      </c>
      <c r="D96" s="25">
        <v>13.201698800000001</v>
      </c>
    </row>
    <row r="97" spans="1:19" x14ac:dyDescent="0.35">
      <c r="A97" s="33">
        <f t="shared" si="1"/>
        <v>42705</v>
      </c>
      <c r="B97" s="25">
        <v>2385186.7999999998</v>
      </c>
      <c r="C97" s="25">
        <v>4.9388955890046917</v>
      </c>
      <c r="D97" s="25">
        <v>3.12896938</v>
      </c>
    </row>
    <row r="98" spans="1:19" x14ac:dyDescent="0.35">
      <c r="A98" s="33">
        <f t="shared" si="1"/>
        <v>42795</v>
      </c>
      <c r="B98" s="25">
        <v>2378146.4</v>
      </c>
      <c r="C98" s="25">
        <v>5.0083608532794948</v>
      </c>
      <c r="D98" s="25">
        <v>4.7997949100000001</v>
      </c>
    </row>
    <row r="99" spans="1:19" x14ac:dyDescent="0.35">
      <c r="A99" s="33">
        <f t="shared" si="1"/>
        <v>42887</v>
      </c>
      <c r="B99" s="25">
        <v>2473512.9</v>
      </c>
      <c r="C99" s="25">
        <v>5.0125517683495016</v>
      </c>
      <c r="D99" s="25">
        <v>17.355129760000001</v>
      </c>
    </row>
    <row r="100" spans="1:19" x14ac:dyDescent="0.35">
      <c r="A100" s="33">
        <f t="shared" si="1"/>
        <v>42979</v>
      </c>
      <c r="B100" s="25">
        <v>2552296.9</v>
      </c>
      <c r="C100" s="25">
        <v>5.0647633275738224</v>
      </c>
      <c r="D100" s="25">
        <v>14.31816147</v>
      </c>
    </row>
    <row r="101" spans="1:19" x14ac:dyDescent="0.35">
      <c r="A101" s="33">
        <f t="shared" si="1"/>
        <v>43070</v>
      </c>
      <c r="B101" s="25">
        <v>2508971.9</v>
      </c>
      <c r="C101" s="25">
        <v>5.1897444678127558</v>
      </c>
      <c r="D101" s="25">
        <v>7.4002579099999997</v>
      </c>
    </row>
    <row r="102" spans="1:19" x14ac:dyDescent="0.35">
      <c r="A102" s="33">
        <f t="shared" si="1"/>
        <v>43160</v>
      </c>
      <c r="B102" s="25">
        <v>2498697.5</v>
      </c>
      <c r="C102" s="25">
        <v>5.0691202190075471</v>
      </c>
      <c r="D102" s="25">
        <v>8.2327863099999998</v>
      </c>
    </row>
    <row r="103" spans="1:19" x14ac:dyDescent="0.35">
      <c r="A103" s="33">
        <f t="shared" si="1"/>
        <v>43252</v>
      </c>
      <c r="B103" s="25">
        <v>2603852.6</v>
      </c>
      <c r="C103" s="25">
        <v>5.2694166260463078</v>
      </c>
      <c r="D103" s="25">
        <v>20.89215291</v>
      </c>
    </row>
    <row r="104" spans="1:19" x14ac:dyDescent="0.35">
      <c r="A104" s="33">
        <f t="shared" si="1"/>
        <v>43344</v>
      </c>
      <c r="B104" s="25">
        <v>2684332.2000000002</v>
      </c>
      <c r="C104" s="25">
        <v>5.1731951717686249</v>
      </c>
      <c r="D104" s="25">
        <v>14.229131300000001</v>
      </c>
    </row>
    <row r="105" spans="1:19" x14ac:dyDescent="0.35">
      <c r="A105" s="33">
        <f t="shared" si="1"/>
        <v>43435</v>
      </c>
      <c r="B105" s="25">
        <v>2638969.6</v>
      </c>
      <c r="C105" s="25">
        <v>5.1813135093302636</v>
      </c>
      <c r="D105" s="25">
        <v>6.19492932</v>
      </c>
    </row>
    <row r="106" spans="1:19" x14ac:dyDescent="0.35">
      <c r="A106" s="33">
        <f t="shared" si="1"/>
        <v>43525</v>
      </c>
      <c r="B106" s="25">
        <v>2625180.5</v>
      </c>
      <c r="C106" s="25">
        <v>5.0619572797427459</v>
      </c>
      <c r="D106" s="25">
        <v>8.6532534600000002</v>
      </c>
    </row>
    <row r="107" spans="1:19" x14ac:dyDescent="0.35">
      <c r="A107" s="33">
        <f t="shared" si="1"/>
        <v>43617</v>
      </c>
      <c r="B107" s="25">
        <v>2735414.1</v>
      </c>
      <c r="C107" s="25">
        <v>5.0525709481404588</v>
      </c>
      <c r="D107" s="25">
        <v>19.173504340000001</v>
      </c>
    </row>
    <row r="108" spans="1:19" x14ac:dyDescent="0.35">
      <c r="A108" s="33">
        <f t="shared" si="1"/>
        <v>43709</v>
      </c>
      <c r="B108" s="25">
        <v>2818812.7</v>
      </c>
      <c r="C108" s="25">
        <v>5.0098307504562953</v>
      </c>
      <c r="D108" s="25">
        <v>13.39428874</v>
      </c>
    </row>
    <row r="109" spans="1:19" x14ac:dyDescent="0.35">
      <c r="A109" s="33">
        <f t="shared" si="1"/>
        <v>43800</v>
      </c>
      <c r="B109" s="25">
        <v>2769748.1</v>
      </c>
      <c r="C109" s="25">
        <v>4.9556652717788028</v>
      </c>
      <c r="D109" s="25">
        <v>7.7916518799999999</v>
      </c>
    </row>
    <row r="110" spans="1:19" x14ac:dyDescent="0.35">
      <c r="A110" s="33">
        <f t="shared" si="1"/>
        <v>43891</v>
      </c>
      <c r="B110" s="25">
        <v>2703027.1</v>
      </c>
      <c r="C110" s="25">
        <v>2.9653808566687161</v>
      </c>
      <c r="D110" s="25">
        <v>-5.5582178300000002</v>
      </c>
      <c r="S110" s="5"/>
    </row>
    <row r="111" spans="1:19" x14ac:dyDescent="0.35">
      <c r="A111" s="33">
        <f t="shared" si="1"/>
        <v>43983</v>
      </c>
      <c r="B111" s="25">
        <v>2589769.2000000002</v>
      </c>
      <c r="C111" s="25">
        <v>-5.3244187050143488</v>
      </c>
      <c r="D111" s="25">
        <v>-35.753914899999998</v>
      </c>
    </row>
    <row r="112" spans="1:19" x14ac:dyDescent="0.35">
      <c r="A112" s="33">
        <f t="shared" si="1"/>
        <v>44075</v>
      </c>
      <c r="B112" s="25">
        <v>2720481.3</v>
      </c>
      <c r="C112" s="25">
        <v>-3.4883977924464569</v>
      </c>
      <c r="D112" s="25">
        <v>-5.9702254000000003</v>
      </c>
    </row>
    <row r="113" spans="1:4" x14ac:dyDescent="0.35">
      <c r="A113" s="33">
        <f t="shared" si="1"/>
        <v>44166</v>
      </c>
      <c r="B113" s="25">
        <v>2709721.7</v>
      </c>
      <c r="C113" s="25">
        <v>-2.1672151341127344</v>
      </c>
      <c r="D113" s="25">
        <v>-3.8960828599999999</v>
      </c>
    </row>
    <row r="114" spans="1:4" x14ac:dyDescent="0.35">
      <c r="A114" s="33">
        <f t="shared" si="1"/>
        <v>44256</v>
      </c>
      <c r="B114" s="25">
        <v>2684445.5</v>
      </c>
      <c r="C114" s="25">
        <v>-0.68743668903652844</v>
      </c>
      <c r="D114" s="25">
        <v>4.4990847299999999</v>
      </c>
    </row>
    <row r="115" spans="1:4" x14ac:dyDescent="0.35">
      <c r="A115" s="33">
        <f t="shared" si="1"/>
        <v>44348</v>
      </c>
      <c r="B115" s="25">
        <v>2773065.2</v>
      </c>
      <c r="C115" s="25">
        <v>7.0776963445236731</v>
      </c>
      <c r="D115" s="25">
        <v>18.981651079999999</v>
      </c>
    </row>
    <row r="116" spans="1:4" x14ac:dyDescent="0.35">
      <c r="A116" s="33">
        <f t="shared" si="1"/>
        <v>44440</v>
      </c>
      <c r="B116" s="25">
        <v>2816492.1</v>
      </c>
      <c r="C116" s="25">
        <v>3.529184339550516</v>
      </c>
      <c r="D116" s="25">
        <v>7.5805708300000001</v>
      </c>
    </row>
    <row r="117" spans="1:4" x14ac:dyDescent="0.35">
      <c r="A117" s="33">
        <f t="shared" si="1"/>
        <v>44531</v>
      </c>
      <c r="B117" s="25">
        <v>2846056.9</v>
      </c>
      <c r="C117" s="25">
        <v>5.0313358748243306</v>
      </c>
      <c r="D117" s="25">
        <v>7.0982980199999997</v>
      </c>
    </row>
    <row r="118" spans="1:4" x14ac:dyDescent="0.35">
      <c r="A118" s="33">
        <f t="shared" si="1"/>
        <v>44621</v>
      </c>
      <c r="B118" s="25">
        <v>2819331.8</v>
      </c>
      <c r="C118" s="25">
        <v>5.0247360209026333</v>
      </c>
      <c r="D118" s="25">
        <v>8.7051019899999993</v>
      </c>
    </row>
    <row r="119" spans="1:4" x14ac:dyDescent="0.35">
      <c r="A119" s="33">
        <f t="shared" si="1"/>
        <v>44713</v>
      </c>
      <c r="B119" s="25">
        <v>2924444</v>
      </c>
      <c r="C119" s="25">
        <v>5.4588979732607736</v>
      </c>
      <c r="D119" s="25">
        <v>14.130302889999999</v>
      </c>
    </row>
    <row r="120" spans="1:4" x14ac:dyDescent="0.35">
      <c r="A120" s="33">
        <f t="shared" si="1"/>
        <v>44805</v>
      </c>
      <c r="B120" s="25">
        <v>2977920</v>
      </c>
      <c r="C120" s="25">
        <v>5.7315232661224185</v>
      </c>
      <c r="D120" s="25">
        <v>13.892775289999999</v>
      </c>
    </row>
    <row r="121" spans="1:4" x14ac:dyDescent="0.35">
      <c r="A121" s="33">
        <f t="shared" si="1"/>
        <v>44896</v>
      </c>
      <c r="B121" s="25">
        <v>2988527.4</v>
      </c>
      <c r="C121" s="25">
        <v>5.0058907817338438</v>
      </c>
      <c r="D121" s="25">
        <v>10.709350349999999</v>
      </c>
    </row>
    <row r="122" spans="1:4" x14ac:dyDescent="0.35">
      <c r="A122" s="33">
        <f t="shared" si="1"/>
        <v>44986</v>
      </c>
      <c r="B122" s="25">
        <v>2961564.4</v>
      </c>
      <c r="C122" s="25">
        <v>5.0449046117948972</v>
      </c>
      <c r="D122" s="25">
        <v>11.052459259999999</v>
      </c>
    </row>
    <row r="123" spans="1:4" x14ac:dyDescent="0.35">
      <c r="A123" s="33">
        <f t="shared" si="1"/>
        <v>45078</v>
      </c>
      <c r="B123" s="25">
        <v>3075781.9</v>
      </c>
      <c r="C123" s="25">
        <v>5.174928977952729</v>
      </c>
      <c r="D123" s="25">
        <v>16.624629509999998</v>
      </c>
    </row>
    <row r="124" spans="1:4" x14ac:dyDescent="0.35">
      <c r="A124" s="33">
        <f t="shared" si="1"/>
        <v>45170</v>
      </c>
      <c r="B124" s="25">
        <v>3124968.2</v>
      </c>
      <c r="C124" s="25">
        <v>4.9379499785084953</v>
      </c>
      <c r="D124" s="25">
        <v>15.64701178</v>
      </c>
    </row>
    <row r="125" spans="1:4" x14ac:dyDescent="0.35">
      <c r="A125" s="33">
        <f t="shared" si="1"/>
        <v>45261</v>
      </c>
      <c r="B125" s="25">
        <v>3139160.6</v>
      </c>
      <c r="C125" s="25">
        <v>5.040382095877729</v>
      </c>
      <c r="D125" s="25">
        <v>13.1693655</v>
      </c>
    </row>
    <row r="126" spans="1:4" x14ac:dyDescent="0.35">
      <c r="A126" s="33">
        <f t="shared" si="1"/>
        <v>45352</v>
      </c>
      <c r="B126" s="25">
        <v>3113039.9</v>
      </c>
      <c r="C126" s="25">
        <v>5.1147123459479724</v>
      </c>
      <c r="D126" s="25">
        <v>14.112579780000001</v>
      </c>
    </row>
    <row r="127" spans="1:4" x14ac:dyDescent="0.35">
      <c r="A127" s="33">
        <f t="shared" si="1"/>
        <v>45444</v>
      </c>
      <c r="B127" s="25">
        <v>3230990.3</v>
      </c>
      <c r="C127" s="25">
        <v>5.0461445266974199</v>
      </c>
      <c r="D127" s="25">
        <v>17.201153919999999</v>
      </c>
    </row>
    <row r="128" spans="1:4" x14ac:dyDescent="0.35">
      <c r="A128" s="33">
        <f t="shared" si="1"/>
        <v>45536</v>
      </c>
      <c r="B128" s="25">
        <v>3279509.8</v>
      </c>
      <c r="C128" s="25">
        <v>4.9453815242023778</v>
      </c>
      <c r="D128" s="25">
        <v>14.396805670000001</v>
      </c>
    </row>
    <row r="129" spans="1:4" x14ac:dyDescent="0.35">
      <c r="A129" s="33">
        <f t="shared" si="1"/>
        <v>45627</v>
      </c>
      <c r="B129" s="25">
        <v>3296741.7</v>
      </c>
      <c r="C129" s="25">
        <v>5.0198482995740994</v>
      </c>
      <c r="D129" s="25">
        <v>12.45764883</v>
      </c>
    </row>
    <row r="130" spans="1:4" x14ac:dyDescent="0.35">
      <c r="A130" s="33">
        <f t="shared" si="1"/>
        <v>45717</v>
      </c>
      <c r="B130" s="25">
        <v>3264533.7</v>
      </c>
      <c r="C130" s="25">
        <v>4.8664265433925307</v>
      </c>
      <c r="D130" s="25">
        <v>7.6262643199999998</v>
      </c>
    </row>
    <row r="131" spans="1:4" x14ac:dyDescent="0.35">
      <c r="A131" s="33">
        <f t="shared" si="1"/>
        <v>45809</v>
      </c>
      <c r="B131" s="25">
        <v>3396302.6</v>
      </c>
      <c r="C131" s="25">
        <v>5.1164591859034765</v>
      </c>
      <c r="D131" s="25">
        <v>11.70005598</v>
      </c>
    </row>
    <row r="132" spans="1:4" x14ac:dyDescent="0.35">
      <c r="A132" s="33">
        <f t="shared" ref="A132:A137" si="2">DATE(YEAR(A131),MONTH(A131)+3,1)</f>
        <v>45901</v>
      </c>
      <c r="B132" s="25">
        <v>3444756.7</v>
      </c>
      <c r="C132" s="25">
        <v>5.0387682939688236</v>
      </c>
      <c r="D132" s="25">
        <v>11.55163063</v>
      </c>
    </row>
    <row r="133" spans="1:4" x14ac:dyDescent="0.35">
      <c r="A133" s="33">
        <f t="shared" si="2"/>
        <v>45992</v>
      </c>
      <c r="B133" s="25">
        <v>3474461.2</v>
      </c>
      <c r="C133" s="25">
        <f>B133/B129*100-100</f>
        <v>5.3907620363463593</v>
      </c>
      <c r="D133" s="1">
        <v>10.61</v>
      </c>
    </row>
    <row r="134" spans="1:4" x14ac:dyDescent="0.35">
      <c r="A134" s="33">
        <f t="shared" si="2"/>
        <v>46082</v>
      </c>
      <c r="B134" s="1">
        <v>3447682.8</v>
      </c>
      <c r="C134" s="25">
        <f>B134/B130*100-100</f>
        <v>5.6102683210162496</v>
      </c>
    </row>
    <row r="135" spans="1:4" x14ac:dyDescent="0.35">
      <c r="A135" s="33">
        <f t="shared" si="2"/>
        <v>46174</v>
      </c>
    </row>
    <row r="136" spans="1:4" x14ac:dyDescent="0.35">
      <c r="A136" s="33">
        <f t="shared" si="2"/>
        <v>46266</v>
      </c>
    </row>
    <row r="137" spans="1:4" x14ac:dyDescent="0.35">
      <c r="A137" s="33">
        <f t="shared" si="2"/>
        <v>46357</v>
      </c>
    </row>
  </sheetData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969C-457E-4A03-BF0C-D37B529318B3}">
  <dimension ref="A1:L28"/>
  <sheetViews>
    <sheetView zoomScale="85" zoomScaleNormal="85" zoomScalePageLayoutView="85" workbookViewId="0">
      <pane xSplit="1" ySplit="1" topLeftCell="B2" activePane="bottomRight" state="frozen"/>
      <selection pane="topRight"/>
      <selection pane="bottomLeft"/>
      <selection pane="bottomRight" activeCell="D19" sqref="D19"/>
    </sheetView>
  </sheetViews>
  <sheetFormatPr defaultColWidth="8.90625" defaultRowHeight="14.5" x14ac:dyDescent="0.35"/>
  <cols>
    <col min="1" max="1" width="20" customWidth="1"/>
    <col min="2" max="2" width="37.08984375" style="14" customWidth="1"/>
    <col min="5" max="5" width="22.1796875" style="14" customWidth="1"/>
    <col min="6" max="6" width="11.54296875" style="14" bestFit="1" customWidth="1"/>
    <col min="7" max="7" width="11.81640625" customWidth="1"/>
    <col min="8" max="8" width="11" customWidth="1"/>
    <col min="9" max="9" width="12.6328125" customWidth="1"/>
  </cols>
  <sheetData>
    <row r="1" spans="1:12" x14ac:dyDescent="0.35">
      <c r="A1" s="20" t="s">
        <v>22</v>
      </c>
      <c r="B1" s="21" t="s">
        <v>18</v>
      </c>
      <c r="C1" s="22" t="s">
        <v>1</v>
      </c>
      <c r="D1" s="22" t="s">
        <v>2</v>
      </c>
      <c r="E1" s="21" t="s">
        <v>3</v>
      </c>
      <c r="F1" s="21" t="s">
        <v>19</v>
      </c>
      <c r="G1" s="3" t="s">
        <v>21</v>
      </c>
      <c r="H1" s="4" t="s">
        <v>8</v>
      </c>
      <c r="I1" s="4" t="s">
        <v>7</v>
      </c>
      <c r="J1" s="4" t="s">
        <v>4</v>
      </c>
      <c r="K1" s="4" t="s">
        <v>17</v>
      </c>
      <c r="L1" s="4" t="s">
        <v>16</v>
      </c>
    </row>
    <row r="2" spans="1:12" x14ac:dyDescent="0.35">
      <c r="A2" s="1" t="s">
        <v>45</v>
      </c>
      <c r="B2" s="13" t="s">
        <v>34</v>
      </c>
      <c r="C2" s="2" t="s">
        <v>6</v>
      </c>
      <c r="D2" s="2" t="s">
        <v>60</v>
      </c>
      <c r="E2" s="15" t="s">
        <v>61</v>
      </c>
      <c r="F2" s="16" t="s">
        <v>33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0</v>
      </c>
    </row>
    <row r="3" spans="1:12" x14ac:dyDescent="0.35">
      <c r="A3" s="1" t="s">
        <v>46</v>
      </c>
      <c r="B3" s="13" t="s">
        <v>35</v>
      </c>
      <c r="C3" s="2" t="s">
        <v>6</v>
      </c>
      <c r="D3" s="2" t="s">
        <v>29</v>
      </c>
      <c r="E3" s="15" t="s">
        <v>32</v>
      </c>
      <c r="F3" s="16" t="s">
        <v>33</v>
      </c>
      <c r="G3" s="1">
        <v>1</v>
      </c>
      <c r="H3" s="1">
        <v>1</v>
      </c>
      <c r="I3" s="1">
        <v>21</v>
      </c>
      <c r="J3" s="1">
        <v>1</v>
      </c>
      <c r="K3" s="1">
        <v>0</v>
      </c>
      <c r="L3" s="1">
        <v>1</v>
      </c>
    </row>
    <row r="4" spans="1:12" x14ac:dyDescent="0.35">
      <c r="A4" s="1" t="s">
        <v>48</v>
      </c>
      <c r="B4" s="13" t="s">
        <v>36</v>
      </c>
      <c r="C4" s="2" t="s">
        <v>6</v>
      </c>
      <c r="D4" s="2" t="s">
        <v>2</v>
      </c>
      <c r="E4" s="15" t="s">
        <v>62</v>
      </c>
      <c r="F4" s="16" t="s">
        <v>33</v>
      </c>
      <c r="G4" s="1">
        <v>1</v>
      </c>
      <c r="H4" s="1">
        <v>1</v>
      </c>
      <c r="I4" s="1">
        <v>15</v>
      </c>
      <c r="J4" s="1">
        <v>1</v>
      </c>
      <c r="K4" s="1">
        <v>0</v>
      </c>
      <c r="L4" s="1">
        <v>1</v>
      </c>
    </row>
    <row r="5" spans="1:12" x14ac:dyDescent="0.35">
      <c r="A5" s="1" t="s">
        <v>49</v>
      </c>
      <c r="B5" s="13" t="s">
        <v>37</v>
      </c>
      <c r="C5" s="2" t="s">
        <v>6</v>
      </c>
      <c r="D5" s="2" t="s">
        <v>56</v>
      </c>
      <c r="E5" s="13" t="s">
        <v>63</v>
      </c>
      <c r="F5" s="16" t="s">
        <v>33</v>
      </c>
      <c r="G5" s="1">
        <v>1</v>
      </c>
      <c r="H5" s="1">
        <v>1</v>
      </c>
      <c r="I5" s="1">
        <v>26</v>
      </c>
      <c r="J5" s="1">
        <v>1</v>
      </c>
      <c r="K5" s="1">
        <v>0</v>
      </c>
      <c r="L5" s="1">
        <v>1</v>
      </c>
    </row>
    <row r="6" spans="1:12" x14ac:dyDescent="0.35">
      <c r="A6" s="1" t="s">
        <v>50</v>
      </c>
      <c r="B6" s="13" t="s">
        <v>38</v>
      </c>
      <c r="C6" s="2" t="s">
        <v>6</v>
      </c>
      <c r="D6" s="2" t="s">
        <v>57</v>
      </c>
      <c r="E6" s="13" t="s">
        <v>31</v>
      </c>
      <c r="F6" s="16" t="s">
        <v>33</v>
      </c>
      <c r="G6" s="1">
        <v>1</v>
      </c>
      <c r="H6" s="1">
        <v>2</v>
      </c>
      <c r="I6" s="1">
        <v>1</v>
      </c>
      <c r="J6" s="1">
        <v>1</v>
      </c>
      <c r="K6" s="1">
        <v>0</v>
      </c>
      <c r="L6" s="1">
        <v>1</v>
      </c>
    </row>
    <row r="7" spans="1:12" x14ac:dyDescent="0.35">
      <c r="A7" s="1" t="s">
        <v>51</v>
      </c>
      <c r="B7" s="13" t="s">
        <v>39</v>
      </c>
      <c r="C7" s="2" t="s">
        <v>6</v>
      </c>
      <c r="D7" s="2" t="s">
        <v>57</v>
      </c>
      <c r="E7" s="15" t="s">
        <v>31</v>
      </c>
      <c r="F7" s="16" t="s">
        <v>33</v>
      </c>
      <c r="G7" s="1">
        <v>1</v>
      </c>
      <c r="H7" s="1">
        <v>2</v>
      </c>
      <c r="I7" s="1">
        <v>1</v>
      </c>
      <c r="J7" s="1">
        <v>1</v>
      </c>
      <c r="K7" s="1">
        <v>0</v>
      </c>
      <c r="L7" s="1">
        <v>1</v>
      </c>
    </row>
    <row r="8" spans="1:12" x14ac:dyDescent="0.35">
      <c r="A8" s="1" t="s">
        <v>52</v>
      </c>
      <c r="B8" s="13" t="s">
        <v>40</v>
      </c>
      <c r="C8" s="2" t="s">
        <v>6</v>
      </c>
      <c r="D8" s="2" t="s">
        <v>57</v>
      </c>
      <c r="E8" s="15" t="s">
        <v>31</v>
      </c>
      <c r="F8" s="16" t="s">
        <v>33</v>
      </c>
      <c r="G8" s="1">
        <v>1</v>
      </c>
      <c r="H8" s="1">
        <v>2</v>
      </c>
      <c r="I8" s="1">
        <v>1</v>
      </c>
      <c r="J8" s="1">
        <v>1</v>
      </c>
      <c r="K8" s="1">
        <v>0</v>
      </c>
      <c r="L8" s="1">
        <v>1</v>
      </c>
    </row>
    <row r="9" spans="1:12" x14ac:dyDescent="0.35">
      <c r="A9" s="1" t="s">
        <v>53</v>
      </c>
      <c r="B9" s="13" t="s">
        <v>41</v>
      </c>
      <c r="C9" s="2" t="s">
        <v>6</v>
      </c>
      <c r="D9" s="2" t="s">
        <v>57</v>
      </c>
      <c r="E9" s="15" t="s">
        <v>31</v>
      </c>
      <c r="F9" s="16" t="s">
        <v>33</v>
      </c>
      <c r="G9" s="1">
        <v>1</v>
      </c>
      <c r="H9" s="1">
        <v>2</v>
      </c>
      <c r="I9" s="1">
        <v>1</v>
      </c>
      <c r="J9" s="1">
        <v>1</v>
      </c>
      <c r="K9" s="1">
        <v>0</v>
      </c>
      <c r="L9" s="1">
        <v>1</v>
      </c>
    </row>
    <row r="10" spans="1:12" x14ac:dyDescent="0.35">
      <c r="A10" s="1" t="s">
        <v>47</v>
      </c>
      <c r="B10" s="13" t="s">
        <v>42</v>
      </c>
      <c r="C10" s="2" t="s">
        <v>6</v>
      </c>
      <c r="D10" s="2" t="s">
        <v>30</v>
      </c>
      <c r="E10" s="15" t="s">
        <v>31</v>
      </c>
      <c r="F10" s="16" t="s">
        <v>33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</row>
    <row r="11" spans="1:12" x14ac:dyDescent="0.35">
      <c r="A11" s="1" t="s">
        <v>54</v>
      </c>
      <c r="B11" s="13" t="s">
        <v>43</v>
      </c>
      <c r="C11" s="2" t="s">
        <v>6</v>
      </c>
      <c r="D11" s="2" t="s">
        <v>58</v>
      </c>
      <c r="E11" s="15" t="s">
        <v>32</v>
      </c>
      <c r="F11" s="16" t="s">
        <v>33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</row>
    <row r="12" spans="1:12" x14ac:dyDescent="0.35">
      <c r="A12" s="1" t="s">
        <v>55</v>
      </c>
      <c r="B12" s="13" t="s">
        <v>44</v>
      </c>
      <c r="C12" s="2" t="s">
        <v>6</v>
      </c>
      <c r="D12" s="2" t="s">
        <v>59</v>
      </c>
      <c r="E12" s="15" t="s">
        <v>32</v>
      </c>
      <c r="F12" s="16" t="s">
        <v>33</v>
      </c>
      <c r="G12" s="1">
        <v>1</v>
      </c>
      <c r="H12" s="1">
        <v>1</v>
      </c>
      <c r="I12" s="1">
        <v>18</v>
      </c>
      <c r="J12" s="1">
        <v>0</v>
      </c>
      <c r="K12" s="1">
        <v>0</v>
      </c>
      <c r="L12" s="1">
        <v>0</v>
      </c>
    </row>
    <row r="13" spans="1:12" x14ac:dyDescent="0.35">
      <c r="A13" s="1"/>
      <c r="B13" s="13"/>
      <c r="C13" s="2"/>
      <c r="D13" s="2"/>
      <c r="E13" s="15"/>
      <c r="F13" s="16"/>
      <c r="G13" s="1"/>
      <c r="H13" s="1"/>
      <c r="I13" s="1"/>
      <c r="J13" s="1"/>
      <c r="K13" s="1"/>
      <c r="L13" s="1"/>
    </row>
    <row r="14" spans="1:12" x14ac:dyDescent="0.35">
      <c r="A14" s="1"/>
      <c r="B14" s="13"/>
      <c r="C14" s="2"/>
      <c r="D14" s="2"/>
      <c r="E14" s="15"/>
      <c r="F14" s="16"/>
      <c r="G14" s="1"/>
      <c r="H14" s="1"/>
      <c r="I14" s="1"/>
      <c r="J14" s="1"/>
      <c r="K14" s="1"/>
      <c r="L14" s="1"/>
    </row>
    <row r="15" spans="1:12" x14ac:dyDescent="0.35">
      <c r="A15" s="1"/>
      <c r="B15" s="13"/>
      <c r="C15" s="2"/>
      <c r="D15" s="2"/>
      <c r="E15" s="15"/>
      <c r="F15" s="16"/>
      <c r="G15" s="1"/>
      <c r="H15" s="1"/>
      <c r="I15" s="1"/>
      <c r="J15" s="1"/>
      <c r="K15" s="1"/>
      <c r="L15" s="1"/>
    </row>
    <row r="16" spans="1:12" x14ac:dyDescent="0.35">
      <c r="A16" s="1"/>
      <c r="B16" s="13"/>
      <c r="C16" s="2"/>
      <c r="D16" s="2"/>
      <c r="E16" s="15"/>
      <c r="F16" s="16"/>
      <c r="G16" s="1"/>
      <c r="H16" s="1"/>
      <c r="I16" s="1"/>
      <c r="J16" s="1"/>
      <c r="K16" s="1"/>
      <c r="L16" s="1"/>
    </row>
    <row r="17" spans="1:12" x14ac:dyDescent="0.35">
      <c r="A17" s="1"/>
      <c r="B17" s="13"/>
      <c r="C17" s="2"/>
      <c r="D17" s="2"/>
      <c r="E17" s="15"/>
      <c r="F17" s="16"/>
      <c r="G17" s="1"/>
      <c r="H17" s="1"/>
      <c r="I17" s="1"/>
      <c r="J17" s="1"/>
      <c r="K17" s="1"/>
      <c r="L17" s="1"/>
    </row>
    <row r="18" spans="1:12" x14ac:dyDescent="0.35">
      <c r="A18" s="1"/>
      <c r="B18" s="13"/>
      <c r="C18" s="2"/>
      <c r="D18" s="2"/>
      <c r="E18" s="15"/>
      <c r="F18" s="16"/>
      <c r="G18" s="1"/>
      <c r="H18" s="1"/>
      <c r="I18" s="1"/>
      <c r="J18" s="1"/>
      <c r="K18" s="1"/>
      <c r="L18" s="1"/>
    </row>
    <row r="19" spans="1:12" x14ac:dyDescent="0.35">
      <c r="A19" s="1"/>
      <c r="B19" s="13"/>
      <c r="C19" s="2"/>
      <c r="D19" s="2"/>
      <c r="E19" s="15"/>
      <c r="F19" s="16"/>
      <c r="G19" s="1"/>
      <c r="H19" s="1"/>
      <c r="I19" s="1"/>
      <c r="J19" s="1"/>
      <c r="K19" s="1"/>
      <c r="L19" s="1"/>
    </row>
    <row r="20" spans="1:12" x14ac:dyDescent="0.35">
      <c r="B20" s="13"/>
    </row>
    <row r="21" spans="1:12" x14ac:dyDescent="0.35">
      <c r="B21" s="13"/>
    </row>
    <row r="22" spans="1:12" x14ac:dyDescent="0.35">
      <c r="B22" s="13"/>
    </row>
    <row r="23" spans="1:12" x14ac:dyDescent="0.35">
      <c r="B23" s="13"/>
    </row>
    <row r="24" spans="1:12" x14ac:dyDescent="0.35">
      <c r="B24" s="13"/>
    </row>
    <row r="25" spans="1:12" x14ac:dyDescent="0.35">
      <c r="B25" s="13"/>
    </row>
    <row r="26" spans="1:12" x14ac:dyDescent="0.35">
      <c r="B26" s="13"/>
    </row>
    <row r="27" spans="1:12" x14ac:dyDescent="0.35">
      <c r="B27" s="13"/>
    </row>
    <row r="28" spans="1:12" x14ac:dyDescent="0.35">
      <c r="B28" s="13"/>
    </row>
  </sheetData>
  <conditionalFormatting sqref="A2:L2 C2:C12 A3:A19 C3:L19 B3:B28">
    <cfRule type="expression" dxfId="97" priority="1">
      <formula>IF($G2=1,1,0)=1</formula>
    </cfRule>
  </conditionalFormatting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W409"/>
  <sheetViews>
    <sheetView tabSelected="1" zoomScale="85" zoomScaleNormal="85" workbookViewId="0">
      <pane xSplit="1" ySplit="1" topLeftCell="B386" activePane="bottomRight" state="frozen"/>
      <selection pane="topRight" activeCell="B1" sqref="B1"/>
      <selection pane="bottomLeft" activeCell="A5" sqref="A5"/>
      <selection pane="bottomRight" activeCell="E400" sqref="E400"/>
    </sheetView>
  </sheetViews>
  <sheetFormatPr defaultColWidth="9.08984375" defaultRowHeight="14.5" x14ac:dyDescent="0.35"/>
  <cols>
    <col min="1" max="1" width="17" style="33" customWidth="1"/>
    <col min="2" max="2" width="9.08984375" style="9" customWidth="1"/>
    <col min="3" max="3" width="23.1796875" style="9" customWidth="1"/>
    <col min="4" max="10" width="9.08984375" style="9" customWidth="1"/>
    <col min="11" max="11" width="11.36328125" style="9" customWidth="1"/>
    <col min="12" max="12" width="11" style="9" customWidth="1"/>
    <col min="13" max="14" width="9.08984375" style="9" customWidth="1"/>
    <col min="15" max="15" width="11" style="9" customWidth="1"/>
    <col min="16" max="16" width="13.08984375" style="9" bestFit="1" customWidth="1"/>
    <col min="17" max="21" width="9.08984375" style="9" customWidth="1"/>
    <col min="22" max="22" width="13.90625" style="9" customWidth="1"/>
    <col min="23" max="23" width="13.36328125" style="9" customWidth="1"/>
    <col min="24" max="26" width="14.453125" style="9" customWidth="1"/>
    <col min="27" max="27" width="10.54296875" style="9" customWidth="1"/>
    <col min="28" max="28" width="13.08984375" style="9" customWidth="1"/>
    <col min="29" max="29" width="14.08984375" style="9" customWidth="1"/>
    <col min="30" max="30" width="15.36328125" style="9" customWidth="1"/>
    <col min="31" max="31" width="12.6328125" style="9" customWidth="1"/>
    <col min="32" max="33" width="9.08984375" style="9" customWidth="1"/>
    <col min="34" max="34" width="12.08984375" style="9" bestFit="1" customWidth="1"/>
    <col min="35" max="37" width="9.08984375" style="9" customWidth="1"/>
    <col min="38" max="38" width="12.08984375" style="9" bestFit="1" customWidth="1"/>
    <col min="39" max="42" width="9.08984375" style="9" customWidth="1"/>
    <col min="43" max="43" width="11.81640625" style="9" bestFit="1" customWidth="1"/>
    <col min="44" max="44" width="12.08984375" style="9" bestFit="1" customWidth="1"/>
    <col min="45" max="47" width="11.81640625" style="9" bestFit="1" customWidth="1"/>
    <col min="48" max="48" width="13.36328125" style="9" customWidth="1"/>
    <col min="49" max="49" width="14.54296875" style="9" customWidth="1"/>
    <col min="50" max="16384" width="9.08984375" style="9"/>
  </cols>
  <sheetData>
    <row r="1" spans="1:49" s="7" customFormat="1" ht="40.75" customHeight="1" x14ac:dyDescent="0.35">
      <c r="A1" s="32" t="str" cm="1">
        <f t="array" aca="1" ref="A1:L1" ca="1">TRANSPOSE(INDIRECT("InfoM!A1:A" &amp; Settings!$B$5))</f>
        <v>Indicator Code</v>
      </c>
      <c r="B1" s="7" t="str">
        <f ca="1"/>
        <v>Man_PMI_EM</v>
      </c>
      <c r="C1" s="7" t="str">
        <f ca="1"/>
        <v>M2</v>
      </c>
      <c r="D1" s="7" t="str">
        <f ca="1"/>
        <v>Car_sales</v>
      </c>
      <c r="E1" s="7" t="str">
        <f ca="1"/>
        <v>Cement</v>
      </c>
      <c r="F1" s="7" t="str">
        <f ca="1"/>
        <v>Export</v>
      </c>
      <c r="G1" s="7" t="str">
        <f ca="1"/>
        <v>M_con_goods</v>
      </c>
      <c r="H1" s="7" t="str">
        <f ca="1"/>
        <v>M_cap_goods</v>
      </c>
      <c r="I1" s="7" t="str">
        <f ca="1"/>
        <v>M_raw_mat</v>
      </c>
      <c r="J1" s="7" t="str">
        <f ca="1"/>
        <v>Inflation</v>
      </c>
      <c r="K1" s="7" t="str">
        <f ca="1"/>
        <v>Forex</v>
      </c>
      <c r="L1" s="7" t="str">
        <f ca="1"/>
        <v>Policy_rate</v>
      </c>
      <c r="AQ1" s="8"/>
      <c r="AR1" s="8"/>
      <c r="AS1" s="8"/>
      <c r="AT1" s="6"/>
      <c r="AU1" s="6"/>
      <c r="AV1" s="6"/>
      <c r="AW1" s="6"/>
    </row>
    <row r="2" spans="1:49" x14ac:dyDescent="0.35">
      <c r="A2" s="33">
        <f>DATE(Settings!$B$2,1,1)</f>
        <v>33970</v>
      </c>
      <c r="B2" s="5"/>
      <c r="C2" s="5">
        <v>119150</v>
      </c>
      <c r="D2" s="5">
        <v>12196</v>
      </c>
      <c r="E2" s="5"/>
      <c r="F2" s="5">
        <v>3001.9</v>
      </c>
      <c r="G2" s="5"/>
      <c r="H2" s="5"/>
      <c r="I2" s="5"/>
      <c r="J2" s="5"/>
      <c r="K2" s="5">
        <v>2065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35">
      <c r="A3" s="33">
        <f>DATE(YEAR(A2),MONTH(A2)+1,1)</f>
        <v>34001</v>
      </c>
      <c r="B3" s="5"/>
      <c r="C3" s="5">
        <v>121123</v>
      </c>
      <c r="D3" s="5">
        <v>14265</v>
      </c>
      <c r="E3" s="5"/>
      <c r="F3" s="5">
        <v>2892.5</v>
      </c>
      <c r="G3" s="5"/>
      <c r="H3" s="5"/>
      <c r="I3" s="5"/>
      <c r="J3" s="5"/>
      <c r="K3" s="5">
        <v>2067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35">
      <c r="A4" s="33">
        <f t="shared" ref="A4:A67" si="0">DATE(YEAR(A3),MONTH(A3)+1,1)</f>
        <v>34029</v>
      </c>
      <c r="B4" s="5"/>
      <c r="C4" s="5">
        <v>123161</v>
      </c>
      <c r="D4" s="5">
        <v>13569</v>
      </c>
      <c r="E4" s="5"/>
      <c r="F4" s="5">
        <v>3008.5</v>
      </c>
      <c r="G4" s="5"/>
      <c r="H4" s="5"/>
      <c r="I4" s="5"/>
      <c r="J4" s="5"/>
      <c r="K4" s="5">
        <v>2071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35">
      <c r="A5" s="33">
        <f t="shared" si="0"/>
        <v>34060</v>
      </c>
      <c r="B5" s="5"/>
      <c r="C5" s="5">
        <v>122890</v>
      </c>
      <c r="D5" s="5">
        <v>15485</v>
      </c>
      <c r="E5" s="5"/>
      <c r="F5" s="5">
        <v>2957.5</v>
      </c>
      <c r="G5" s="5"/>
      <c r="H5" s="5"/>
      <c r="I5" s="5"/>
      <c r="J5" s="5"/>
      <c r="K5" s="5">
        <v>2079.5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35">
      <c r="A6" s="33">
        <f t="shared" si="0"/>
        <v>34090</v>
      </c>
      <c r="B6" s="5"/>
      <c r="C6" s="5">
        <v>123448</v>
      </c>
      <c r="D6" s="5">
        <v>16025</v>
      </c>
      <c r="E6" s="5"/>
      <c r="F6" s="5">
        <v>3118</v>
      </c>
      <c r="G6" s="5"/>
      <c r="H6" s="5"/>
      <c r="I6" s="5"/>
      <c r="J6" s="5"/>
      <c r="K6" s="5">
        <v>2081.375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35">
      <c r="A7" s="33">
        <f t="shared" si="0"/>
        <v>34121</v>
      </c>
      <c r="B7" s="5"/>
      <c r="C7" s="5">
        <v>124340</v>
      </c>
      <c r="D7" s="5">
        <v>16716</v>
      </c>
      <c r="E7" s="5"/>
      <c r="F7" s="5">
        <v>2981.2</v>
      </c>
      <c r="G7" s="5"/>
      <c r="H7" s="5"/>
      <c r="I7" s="5"/>
      <c r="J7" s="5"/>
      <c r="K7" s="5">
        <v>2089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35">
      <c r="A8" s="33">
        <f t="shared" si="0"/>
        <v>34151</v>
      </c>
      <c r="B8" s="5"/>
      <c r="C8" s="5">
        <v>127189</v>
      </c>
      <c r="D8" s="5">
        <v>18045</v>
      </c>
      <c r="E8" s="5"/>
      <c r="F8" s="5">
        <v>3025.7</v>
      </c>
      <c r="G8" s="5"/>
      <c r="H8" s="5"/>
      <c r="I8" s="5"/>
      <c r="J8" s="5"/>
      <c r="K8" s="5">
        <v>2096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35">
      <c r="A9" s="33">
        <f t="shared" si="0"/>
        <v>34182</v>
      </c>
      <c r="B9" s="5"/>
      <c r="C9" s="5">
        <v>132531</v>
      </c>
      <c r="D9" s="5">
        <v>19846</v>
      </c>
      <c r="E9" s="5"/>
      <c r="F9" s="5">
        <v>3128.4</v>
      </c>
      <c r="G9" s="5"/>
      <c r="H9" s="5"/>
      <c r="I9" s="5"/>
      <c r="J9" s="5"/>
      <c r="K9" s="5">
        <v>2102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35">
      <c r="A10" s="33">
        <f t="shared" si="0"/>
        <v>34213</v>
      </c>
      <c r="B10" s="5"/>
      <c r="C10" s="5">
        <v>136387</v>
      </c>
      <c r="D10" s="5">
        <v>19830</v>
      </c>
      <c r="E10" s="5"/>
      <c r="F10" s="5">
        <v>3084.1</v>
      </c>
      <c r="G10" s="5"/>
      <c r="H10" s="5"/>
      <c r="I10" s="5"/>
      <c r="J10" s="5"/>
      <c r="K10" s="5">
        <v>2106.5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35">
      <c r="A11" s="33">
        <f t="shared" si="0"/>
        <v>34243</v>
      </c>
      <c r="B11" s="5"/>
      <c r="C11" s="5">
        <v>138460</v>
      </c>
      <c r="D11" s="5">
        <v>20159</v>
      </c>
      <c r="E11" s="5"/>
      <c r="F11" s="5">
        <v>3218.4</v>
      </c>
      <c r="G11" s="5"/>
      <c r="H11" s="5"/>
      <c r="I11" s="5"/>
      <c r="J11" s="5"/>
      <c r="K11" s="5">
        <v>2101.5500000000002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35">
      <c r="A12" s="33">
        <f t="shared" si="0"/>
        <v>34274</v>
      </c>
      <c r="B12" s="5"/>
      <c r="C12" s="5">
        <v>141304</v>
      </c>
      <c r="D12" s="5">
        <v>22390</v>
      </c>
      <c r="E12" s="5"/>
      <c r="F12" s="5">
        <v>3212.1</v>
      </c>
      <c r="G12" s="5"/>
      <c r="H12" s="5"/>
      <c r="I12" s="5"/>
      <c r="J12" s="5"/>
      <c r="K12" s="5">
        <v>2103.35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35">
      <c r="A13" s="33">
        <f t="shared" si="0"/>
        <v>34304</v>
      </c>
      <c r="B13" s="5"/>
      <c r="C13" s="5">
        <v>145202</v>
      </c>
      <c r="D13" s="5">
        <v>22018</v>
      </c>
      <c r="E13" s="5"/>
      <c r="F13" s="5">
        <v>3194.7</v>
      </c>
      <c r="G13" s="5"/>
      <c r="H13" s="5"/>
      <c r="I13" s="5"/>
      <c r="J13" s="5"/>
      <c r="K13" s="5">
        <v>2111.25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35">
      <c r="A14" s="33">
        <f t="shared" si="0"/>
        <v>34335</v>
      </c>
      <c r="B14" s="5"/>
      <c r="C14" s="5">
        <v>146056</v>
      </c>
      <c r="D14" s="5">
        <v>19817</v>
      </c>
      <c r="E14" s="5">
        <v>1596.7249999999999</v>
      </c>
      <c r="F14" s="5">
        <v>2666.5</v>
      </c>
      <c r="G14" s="5"/>
      <c r="H14" s="5"/>
      <c r="I14" s="5"/>
      <c r="J14" s="5"/>
      <c r="K14" s="5">
        <v>2115.25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35">
      <c r="A15" s="33">
        <f t="shared" si="0"/>
        <v>34366</v>
      </c>
      <c r="B15" s="5"/>
      <c r="C15" s="5">
        <v>151068</v>
      </c>
      <c r="D15" s="5">
        <v>23497</v>
      </c>
      <c r="E15" s="5">
        <v>1501.462</v>
      </c>
      <c r="F15" s="5">
        <v>2799.6</v>
      </c>
      <c r="G15" s="5"/>
      <c r="H15" s="5"/>
      <c r="I15" s="5"/>
      <c r="J15" s="5"/>
      <c r="K15" s="5">
        <v>2145.125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35">
      <c r="A16" s="33">
        <f t="shared" si="0"/>
        <v>34394</v>
      </c>
      <c r="B16" s="5"/>
      <c r="C16" s="5">
        <v>148829</v>
      </c>
      <c r="D16" s="5">
        <v>20979</v>
      </c>
      <c r="E16" s="5">
        <v>1119.373</v>
      </c>
      <c r="F16" s="5">
        <v>3032.3</v>
      </c>
      <c r="G16" s="5"/>
      <c r="H16" s="5"/>
      <c r="I16" s="5"/>
      <c r="J16" s="5"/>
      <c r="K16" s="5">
        <v>2155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35">
      <c r="A17" s="33">
        <f t="shared" si="0"/>
        <v>34425</v>
      </c>
      <c r="B17" s="5"/>
      <c r="C17" s="5">
        <v>150059</v>
      </c>
      <c r="D17" s="5">
        <v>23272</v>
      </c>
      <c r="E17" s="5">
        <v>1537.866</v>
      </c>
      <c r="F17" s="5">
        <v>3133.8</v>
      </c>
      <c r="G17" s="5"/>
      <c r="H17" s="5"/>
      <c r="I17" s="5"/>
      <c r="J17" s="5"/>
      <c r="K17" s="5">
        <v>2156.5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35">
      <c r="A18" s="33">
        <f t="shared" si="0"/>
        <v>34455</v>
      </c>
      <c r="B18" s="5"/>
      <c r="C18" s="5">
        <v>150909</v>
      </c>
      <c r="D18" s="5">
        <v>24443</v>
      </c>
      <c r="E18" s="5">
        <v>1740.5319999999999</v>
      </c>
      <c r="F18" s="5">
        <v>3209.8</v>
      </c>
      <c r="G18" s="5"/>
      <c r="H18" s="5"/>
      <c r="I18" s="5"/>
      <c r="J18" s="5"/>
      <c r="K18" s="5">
        <v>2164.25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35">
      <c r="A19" s="33">
        <f t="shared" si="0"/>
        <v>34486</v>
      </c>
      <c r="B19" s="5"/>
      <c r="C19" s="5">
        <v>152798</v>
      </c>
      <c r="D19" s="5">
        <v>26683</v>
      </c>
      <c r="E19" s="5">
        <v>1846.1320000000001</v>
      </c>
      <c r="F19" s="5">
        <v>3567.8</v>
      </c>
      <c r="G19" s="5"/>
      <c r="H19" s="5"/>
      <c r="I19" s="5"/>
      <c r="J19" s="5"/>
      <c r="K19" s="5">
        <v>2169.9749999999999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35">
      <c r="A20" s="33">
        <f t="shared" si="0"/>
        <v>34516</v>
      </c>
      <c r="B20" s="5"/>
      <c r="C20" s="5">
        <v>154865</v>
      </c>
      <c r="D20" s="5">
        <v>26772</v>
      </c>
      <c r="E20" s="5">
        <v>1941.721</v>
      </c>
      <c r="F20" s="5">
        <v>3514.9</v>
      </c>
      <c r="G20" s="5"/>
      <c r="H20" s="5"/>
      <c r="I20" s="5"/>
      <c r="J20" s="5"/>
      <c r="K20" s="5">
        <v>2165.375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35">
      <c r="A21" s="33">
        <f t="shared" si="0"/>
        <v>34547</v>
      </c>
      <c r="B21" s="5"/>
      <c r="C21" s="5">
        <v>158963</v>
      </c>
      <c r="D21" s="5">
        <v>29152</v>
      </c>
      <c r="E21" s="5">
        <v>1990.422</v>
      </c>
      <c r="F21" s="5">
        <v>3592.2</v>
      </c>
      <c r="G21" s="5"/>
      <c r="H21" s="5"/>
      <c r="I21" s="5"/>
      <c r="J21" s="5"/>
      <c r="K21" s="5">
        <v>2173.75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35">
      <c r="A22" s="33">
        <f t="shared" si="0"/>
        <v>34578</v>
      </c>
      <c r="B22" s="5"/>
      <c r="C22" s="5">
        <v>162900</v>
      </c>
      <c r="D22" s="5">
        <v>30798</v>
      </c>
      <c r="E22" s="5">
        <v>2003.6590000000001</v>
      </c>
      <c r="F22" s="5">
        <v>3481.2</v>
      </c>
      <c r="G22" s="5"/>
      <c r="H22" s="5"/>
      <c r="I22" s="5"/>
      <c r="J22" s="5"/>
      <c r="K22" s="5">
        <v>2176.0500000000002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35">
      <c r="A23" s="33">
        <f t="shared" si="0"/>
        <v>34608</v>
      </c>
      <c r="B23" s="5"/>
      <c r="C23" s="5">
        <v>165407</v>
      </c>
      <c r="D23" s="5">
        <v>32409</v>
      </c>
      <c r="E23" s="5">
        <v>2103.5940000000001</v>
      </c>
      <c r="F23" s="5">
        <v>3646.3</v>
      </c>
      <c r="G23" s="5"/>
      <c r="H23" s="5"/>
      <c r="I23" s="5"/>
      <c r="J23" s="5"/>
      <c r="K23" s="5">
        <v>2171.125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35">
      <c r="A24" s="33">
        <f t="shared" si="0"/>
        <v>34639</v>
      </c>
      <c r="B24" s="5"/>
      <c r="C24" s="5">
        <v>168542</v>
      </c>
      <c r="D24" s="5">
        <v>33172</v>
      </c>
      <c r="E24" s="5">
        <v>2014.7940000000001</v>
      </c>
      <c r="F24" s="5">
        <v>3640.9</v>
      </c>
      <c r="G24" s="5"/>
      <c r="H24" s="5"/>
      <c r="I24" s="5"/>
      <c r="J24" s="5"/>
      <c r="K24" s="5">
        <v>2178.5500000000002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35">
      <c r="A25" s="33">
        <f t="shared" si="0"/>
        <v>34669</v>
      </c>
      <c r="B25" s="5"/>
      <c r="C25" s="5">
        <v>174512</v>
      </c>
      <c r="D25" s="5">
        <v>30766</v>
      </c>
      <c r="E25" s="5">
        <v>2082.2420000000002</v>
      </c>
      <c r="F25" s="5">
        <v>3768.1</v>
      </c>
      <c r="G25" s="5"/>
      <c r="H25" s="5"/>
      <c r="I25" s="5"/>
      <c r="J25" s="5"/>
      <c r="K25" s="5">
        <v>2198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35">
      <c r="A26" s="33">
        <f t="shared" si="0"/>
        <v>34700</v>
      </c>
      <c r="B26" s="5"/>
      <c r="C26" s="5">
        <v>176227</v>
      </c>
      <c r="D26" s="5">
        <v>30696</v>
      </c>
      <c r="E26" s="5">
        <v>2094.8209999999999</v>
      </c>
      <c r="F26" s="5">
        <v>3258.9</v>
      </c>
      <c r="G26" s="5"/>
      <c r="H26" s="5"/>
      <c r="I26" s="5"/>
      <c r="J26" s="5"/>
      <c r="K26" s="5">
        <v>2217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35">
      <c r="A27" s="33">
        <f t="shared" si="0"/>
        <v>34731</v>
      </c>
      <c r="B27" s="5"/>
      <c r="C27" s="5">
        <v>179789</v>
      </c>
      <c r="D27" s="5">
        <v>27384</v>
      </c>
      <c r="E27" s="5">
        <v>1580.4929999999999</v>
      </c>
      <c r="F27" s="5">
        <v>3431.6</v>
      </c>
      <c r="G27" s="5"/>
      <c r="H27" s="5"/>
      <c r="I27" s="5"/>
      <c r="J27" s="5"/>
      <c r="K27" s="5">
        <v>2216.75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35">
      <c r="A28" s="33">
        <f t="shared" si="0"/>
        <v>34759</v>
      </c>
      <c r="B28" s="5"/>
      <c r="C28" s="5">
        <v>181701</v>
      </c>
      <c r="D28" s="5">
        <v>26101</v>
      </c>
      <c r="E28" s="5">
        <v>1486.191</v>
      </c>
      <c r="F28" s="5">
        <v>3484.5</v>
      </c>
      <c r="G28" s="5"/>
      <c r="H28" s="5"/>
      <c r="I28" s="5"/>
      <c r="J28" s="5"/>
      <c r="K28" s="5">
        <v>2238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35">
      <c r="A29" s="33">
        <f t="shared" si="0"/>
        <v>34790</v>
      </c>
      <c r="B29" s="5"/>
      <c r="C29" s="5">
        <v>182737</v>
      </c>
      <c r="D29" s="5">
        <v>31172</v>
      </c>
      <c r="E29" s="5">
        <v>1984.9649999999999</v>
      </c>
      <c r="F29" s="5">
        <v>3414.4</v>
      </c>
      <c r="G29" s="5"/>
      <c r="H29" s="5"/>
      <c r="I29" s="5"/>
      <c r="J29" s="5"/>
      <c r="K29" s="5">
        <v>2233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35">
      <c r="A30" s="33">
        <f t="shared" si="0"/>
        <v>34820</v>
      </c>
      <c r="B30" s="5"/>
      <c r="C30" s="5">
        <v>185164</v>
      </c>
      <c r="D30" s="5">
        <v>31335</v>
      </c>
      <c r="E30" s="5">
        <v>1891.65</v>
      </c>
      <c r="F30" s="5">
        <v>3821.4</v>
      </c>
      <c r="G30" s="5"/>
      <c r="H30" s="5"/>
      <c r="I30" s="5"/>
      <c r="J30" s="5"/>
      <c r="K30" s="5">
        <v>2226.5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35">
      <c r="A31" s="33">
        <f t="shared" si="0"/>
        <v>34851</v>
      </c>
      <c r="B31" s="5"/>
      <c r="C31" s="5">
        <v>192126</v>
      </c>
      <c r="D31" s="5">
        <v>32919</v>
      </c>
      <c r="E31" s="5">
        <v>1977.6990000000001</v>
      </c>
      <c r="F31" s="5">
        <v>3834.1</v>
      </c>
      <c r="G31" s="5"/>
      <c r="H31" s="5"/>
      <c r="I31" s="5"/>
      <c r="J31" s="5"/>
      <c r="K31" s="5">
        <v>2227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35">
      <c r="A32" s="33">
        <f t="shared" si="0"/>
        <v>34881</v>
      </c>
      <c r="B32" s="5"/>
      <c r="C32" s="5">
        <v>196820</v>
      </c>
      <c r="D32" s="5">
        <v>33521</v>
      </c>
      <c r="E32" s="5">
        <v>2167.529</v>
      </c>
      <c r="F32" s="5">
        <v>3774.9</v>
      </c>
      <c r="G32" s="5"/>
      <c r="H32" s="5"/>
      <c r="I32" s="5"/>
      <c r="J32" s="5"/>
      <c r="K32" s="5">
        <v>2234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35">
      <c r="A33" s="33">
        <f t="shared" si="0"/>
        <v>34912</v>
      </c>
      <c r="B33" s="5"/>
      <c r="C33" s="5">
        <v>202085</v>
      </c>
      <c r="D33" s="5">
        <v>33935</v>
      </c>
      <c r="E33" s="5">
        <v>2083.529</v>
      </c>
      <c r="F33" s="5">
        <v>3953.3</v>
      </c>
      <c r="G33" s="5"/>
      <c r="H33" s="5"/>
      <c r="I33" s="5"/>
      <c r="J33" s="5"/>
      <c r="K33" s="5">
        <v>2266.5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35">
      <c r="A34" s="33">
        <f t="shared" si="0"/>
        <v>34943</v>
      </c>
      <c r="B34" s="5"/>
      <c r="C34" s="5">
        <v>206079</v>
      </c>
      <c r="D34" s="5">
        <v>32898</v>
      </c>
      <c r="E34" s="5">
        <v>2244.3090000000002</v>
      </c>
      <c r="F34" s="5">
        <v>3940.3</v>
      </c>
      <c r="G34" s="5"/>
      <c r="H34" s="5"/>
      <c r="I34" s="5"/>
      <c r="J34" s="5"/>
      <c r="K34" s="5">
        <v>2266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35">
      <c r="A35" s="33">
        <f t="shared" si="0"/>
        <v>34973</v>
      </c>
      <c r="B35" s="5"/>
      <c r="C35" s="5">
        <v>211148</v>
      </c>
      <c r="D35" s="5">
        <v>34901</v>
      </c>
      <c r="E35" s="5">
        <v>2291.627</v>
      </c>
      <c r="F35" s="5">
        <v>3900.4</v>
      </c>
      <c r="G35" s="5"/>
      <c r="H35" s="5"/>
      <c r="I35" s="5"/>
      <c r="J35" s="5"/>
      <c r="K35" s="5">
        <v>2271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35">
      <c r="A36" s="33">
        <f t="shared" si="0"/>
        <v>35004</v>
      </c>
      <c r="B36" s="5"/>
      <c r="C36" s="5">
        <v>215788</v>
      </c>
      <c r="D36" s="5">
        <v>33807</v>
      </c>
      <c r="E36" s="5">
        <v>2247.5219999999999</v>
      </c>
      <c r="F36" s="5">
        <v>4079.9</v>
      </c>
      <c r="G36" s="5"/>
      <c r="H36" s="5"/>
      <c r="I36" s="5"/>
      <c r="J36" s="5"/>
      <c r="K36" s="5">
        <v>2283.5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35">
      <c r="A37" s="33">
        <f t="shared" si="0"/>
        <v>35034</v>
      </c>
      <c r="B37" s="5"/>
      <c r="C37" s="5">
        <v>222638</v>
      </c>
      <c r="D37" s="5">
        <v>30035</v>
      </c>
      <c r="E37" s="5">
        <v>2125.1979999999999</v>
      </c>
      <c r="F37" s="5">
        <v>4524.2740000000003</v>
      </c>
      <c r="G37" s="5"/>
      <c r="H37" s="5"/>
      <c r="I37" s="5"/>
      <c r="J37" s="5"/>
      <c r="K37" s="5">
        <v>2286.5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35">
      <c r="A38" s="33">
        <f t="shared" si="0"/>
        <v>35065</v>
      </c>
      <c r="B38" s="5"/>
      <c r="C38" s="5">
        <v>222865</v>
      </c>
      <c r="D38" s="5">
        <v>28645</v>
      </c>
      <c r="E38" s="5">
        <v>2014.671</v>
      </c>
      <c r="F38" s="5">
        <v>3601.0123669999998</v>
      </c>
      <c r="G38" s="5"/>
      <c r="H38" s="5"/>
      <c r="I38" s="5"/>
      <c r="J38" s="5"/>
      <c r="K38" s="5">
        <v>2291.5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35">
      <c r="A39" s="33">
        <f t="shared" si="0"/>
        <v>35096</v>
      </c>
      <c r="B39" s="5"/>
      <c r="C39" s="5">
        <v>227948</v>
      </c>
      <c r="D39" s="5">
        <v>18380</v>
      </c>
      <c r="E39" s="5">
        <v>1246.991</v>
      </c>
      <c r="F39" s="5">
        <v>3685.1594869999999</v>
      </c>
      <c r="G39" s="5"/>
      <c r="H39" s="5"/>
      <c r="I39" s="5"/>
      <c r="J39" s="5"/>
      <c r="K39" s="5">
        <v>2316.5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35">
      <c r="A40" s="33">
        <f t="shared" si="0"/>
        <v>35125</v>
      </c>
      <c r="B40" s="5"/>
      <c r="C40" s="5">
        <v>232493</v>
      </c>
      <c r="D40" s="5">
        <v>27678</v>
      </c>
      <c r="E40" s="5">
        <v>1984.5350000000001</v>
      </c>
      <c r="F40" s="5">
        <v>3954.8140020000001</v>
      </c>
      <c r="G40" s="5"/>
      <c r="H40" s="5"/>
      <c r="I40" s="5"/>
      <c r="J40" s="5"/>
      <c r="K40" s="5">
        <v>2337.5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35">
      <c r="A41" s="33">
        <f t="shared" si="0"/>
        <v>35156</v>
      </c>
      <c r="B41" s="5"/>
      <c r="C41" s="5">
        <v>238004</v>
      </c>
      <c r="D41" s="5">
        <v>28512</v>
      </c>
      <c r="E41" s="5">
        <v>2038.2239999999999</v>
      </c>
      <c r="F41" s="5">
        <v>4029.7703759999999</v>
      </c>
      <c r="G41" s="5"/>
      <c r="H41" s="5"/>
      <c r="I41" s="5"/>
      <c r="J41" s="5"/>
      <c r="K41" s="5">
        <v>2329.5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35">
      <c r="A42" s="33">
        <f t="shared" si="0"/>
        <v>35186</v>
      </c>
      <c r="B42" s="5"/>
      <c r="C42" s="5">
        <v>242153</v>
      </c>
      <c r="D42" s="5">
        <v>26445</v>
      </c>
      <c r="E42" s="5">
        <v>2135.181</v>
      </c>
      <c r="F42" s="5">
        <v>4075.5691889999998</v>
      </c>
      <c r="G42" s="5"/>
      <c r="H42" s="5"/>
      <c r="I42" s="5"/>
      <c r="J42" s="5"/>
      <c r="K42" s="5">
        <v>2332.5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35">
      <c r="A43" s="33">
        <f t="shared" si="0"/>
        <v>35217</v>
      </c>
      <c r="B43" s="5"/>
      <c r="C43" s="5">
        <v>249443</v>
      </c>
      <c r="D43" s="5">
        <v>23091</v>
      </c>
      <c r="E43" s="5">
        <v>2075.9650000000001</v>
      </c>
      <c r="F43" s="5">
        <v>4136.0008740000003</v>
      </c>
      <c r="G43" s="5"/>
      <c r="H43" s="5"/>
      <c r="I43" s="5"/>
      <c r="J43" s="5"/>
      <c r="K43" s="5">
        <v>2327.5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35">
      <c r="A44" s="33">
        <f t="shared" si="0"/>
        <v>35247</v>
      </c>
      <c r="B44" s="5"/>
      <c r="C44" s="5">
        <v>253392</v>
      </c>
      <c r="D44" s="5">
        <v>25660</v>
      </c>
      <c r="E44" s="5">
        <v>2322.241</v>
      </c>
      <c r="F44" s="5">
        <v>4069.0797130000001</v>
      </c>
      <c r="G44" s="5"/>
      <c r="H44" s="5"/>
      <c r="I44" s="5"/>
      <c r="J44" s="5"/>
      <c r="K44" s="5">
        <v>2351.5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35">
      <c r="A45" s="33">
        <f t="shared" si="0"/>
        <v>35278</v>
      </c>
      <c r="B45" s="5"/>
      <c r="C45" s="5">
        <v>255284</v>
      </c>
      <c r="D45" s="5">
        <v>27426</v>
      </c>
      <c r="E45" s="5">
        <v>2270.0279999999998</v>
      </c>
      <c r="F45" s="5">
        <v>4321.3972960000001</v>
      </c>
      <c r="G45" s="5"/>
      <c r="H45" s="5"/>
      <c r="I45" s="5"/>
      <c r="J45" s="5"/>
      <c r="K45" s="5">
        <v>2342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35">
      <c r="A46" s="33">
        <f t="shared" si="0"/>
        <v>35309</v>
      </c>
      <c r="B46" s="5"/>
      <c r="C46" s="5">
        <v>259926</v>
      </c>
      <c r="D46" s="5">
        <v>27221</v>
      </c>
      <c r="E46" s="5">
        <v>2337.5079999999998</v>
      </c>
      <c r="F46" s="5">
        <v>4330.9108459999998</v>
      </c>
      <c r="G46" s="5"/>
      <c r="H46" s="5"/>
      <c r="I46" s="5"/>
      <c r="J46" s="5"/>
      <c r="K46" s="5">
        <v>2321.5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35">
      <c r="A47" s="33">
        <f t="shared" si="0"/>
        <v>35339</v>
      </c>
      <c r="B47" s="5"/>
      <c r="C47" s="5">
        <v>268320</v>
      </c>
      <c r="D47" s="5">
        <v>29747</v>
      </c>
      <c r="E47" s="5">
        <v>2360.6109999999999</v>
      </c>
      <c r="F47" s="5">
        <v>4472.3638039999996</v>
      </c>
      <c r="G47" s="5"/>
      <c r="H47" s="5"/>
      <c r="I47" s="5"/>
      <c r="J47" s="5"/>
      <c r="K47" s="5">
        <v>2329.3200000000002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35">
      <c r="A48" s="33">
        <f t="shared" si="0"/>
        <v>35370</v>
      </c>
      <c r="B48" s="5"/>
      <c r="C48" s="5">
        <v>277359</v>
      </c>
      <c r="D48" s="5">
        <v>32246</v>
      </c>
      <c r="E48" s="5">
        <v>2354.9290000000001</v>
      </c>
      <c r="F48" s="5">
        <v>4456.1926480000002</v>
      </c>
      <c r="G48" s="5"/>
      <c r="H48" s="5"/>
      <c r="I48" s="5"/>
      <c r="J48" s="5"/>
      <c r="K48" s="5">
        <v>2345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35">
      <c r="A49" s="33">
        <f t="shared" si="0"/>
        <v>35400</v>
      </c>
      <c r="B49" s="5"/>
      <c r="C49" s="5">
        <v>288632</v>
      </c>
      <c r="D49" s="5">
        <v>30736</v>
      </c>
      <c r="E49" s="5">
        <v>2279.3180000000002</v>
      </c>
      <c r="F49" s="5">
        <v>4682.4838399999999</v>
      </c>
      <c r="G49" s="5"/>
      <c r="H49" s="5"/>
      <c r="I49" s="5"/>
      <c r="J49" s="5"/>
      <c r="K49" s="5">
        <v>2362.5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35">
      <c r="A50" s="33">
        <f t="shared" si="0"/>
        <v>35431</v>
      </c>
      <c r="B50" s="5"/>
      <c r="C50" s="5">
        <v>290853</v>
      </c>
      <c r="D50" s="5">
        <v>31760</v>
      </c>
      <c r="E50" s="5">
        <v>2182.0300000000002</v>
      </c>
      <c r="F50" s="5">
        <v>4243.0189170000003</v>
      </c>
      <c r="G50" s="5"/>
      <c r="H50" s="5"/>
      <c r="I50" s="5"/>
      <c r="J50" s="24">
        <v>4.7991071428571672</v>
      </c>
      <c r="K50" s="5">
        <v>2376.5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35">
      <c r="A51" s="33">
        <f t="shared" si="0"/>
        <v>35462</v>
      </c>
      <c r="B51" s="5"/>
      <c r="C51" s="5">
        <v>293240</v>
      </c>
      <c r="D51" s="5">
        <v>24233</v>
      </c>
      <c r="E51" s="5">
        <v>1248.7460000000001</v>
      </c>
      <c r="F51" s="5">
        <v>4078.048569</v>
      </c>
      <c r="G51" s="5"/>
      <c r="H51" s="5"/>
      <c r="I51" s="5"/>
      <c r="J51" s="24">
        <v>4.21590226316843</v>
      </c>
      <c r="K51" s="5">
        <v>2406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35">
      <c r="A52" s="33">
        <f t="shared" si="0"/>
        <v>35490</v>
      </c>
      <c r="B52" s="5"/>
      <c r="C52" s="5">
        <v>294581</v>
      </c>
      <c r="D52" s="5">
        <v>33439</v>
      </c>
      <c r="E52" s="5">
        <v>2158.355</v>
      </c>
      <c r="F52" s="5">
        <v>4083.6871529999999</v>
      </c>
      <c r="G52" s="5"/>
      <c r="H52" s="5"/>
      <c r="I52" s="5"/>
      <c r="J52" s="24">
        <v>4.8387096774193576</v>
      </c>
      <c r="K52" s="5">
        <v>2418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35">
      <c r="A53" s="33">
        <f t="shared" si="0"/>
        <v>35521</v>
      </c>
      <c r="B53" s="5"/>
      <c r="C53" s="5">
        <v>299277</v>
      </c>
      <c r="D53" s="5">
        <v>34974</v>
      </c>
      <c r="E53" s="5">
        <v>2258.0520000000001</v>
      </c>
      <c r="F53" s="5">
        <v>4180.8498589999999</v>
      </c>
      <c r="G53" s="5"/>
      <c r="H53" s="5"/>
      <c r="I53" s="5"/>
      <c r="J53" s="24">
        <v>4.9552718866217909</v>
      </c>
      <c r="K53" s="5">
        <v>2433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35">
      <c r="A54" s="33">
        <f t="shared" si="0"/>
        <v>35551</v>
      </c>
      <c r="B54" s="5"/>
      <c r="C54" s="5">
        <v>303667</v>
      </c>
      <c r="D54" s="5">
        <v>36996</v>
      </c>
      <c r="E54" s="5">
        <v>2179.6149999999998</v>
      </c>
      <c r="F54" s="5">
        <v>4557.8373030000002</v>
      </c>
      <c r="G54" s="5"/>
      <c r="H54" s="5"/>
      <c r="I54" s="5"/>
      <c r="J54" s="24">
        <v>4.4941575951263433</v>
      </c>
      <c r="K54" s="5">
        <v>2440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35">
      <c r="A55" s="33">
        <f t="shared" si="0"/>
        <v>35582</v>
      </c>
      <c r="B55" s="5"/>
      <c r="C55" s="5">
        <v>312839</v>
      </c>
      <c r="D55" s="5">
        <v>38783</v>
      </c>
      <c r="E55" s="5">
        <v>2387.3389999999999</v>
      </c>
      <c r="F55" s="5">
        <v>4366.5900510000001</v>
      </c>
      <c r="G55" s="5"/>
      <c r="H55" s="5"/>
      <c r="I55" s="5"/>
      <c r="J55" s="24">
        <v>5.192191587844631</v>
      </c>
      <c r="K55" s="5">
        <v>2450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35">
      <c r="A56" s="33">
        <f t="shared" si="0"/>
        <v>35612</v>
      </c>
      <c r="B56" s="5"/>
      <c r="C56" s="5">
        <v>317533</v>
      </c>
      <c r="D56" s="5">
        <v>40866</v>
      </c>
      <c r="E56" s="5">
        <v>2490.7869999999998</v>
      </c>
      <c r="F56" s="5">
        <v>4585.1485279999997</v>
      </c>
      <c r="G56" s="5"/>
      <c r="H56" s="5"/>
      <c r="I56" s="5"/>
      <c r="J56" s="24">
        <v>5.2957633892885516</v>
      </c>
      <c r="K56" s="5">
        <v>2599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35">
      <c r="A57" s="33">
        <f t="shared" si="0"/>
        <v>35643</v>
      </c>
      <c r="B57" s="5"/>
      <c r="C57" s="5">
        <v>325911</v>
      </c>
      <c r="D57" s="5">
        <v>42929</v>
      </c>
      <c r="E57" s="5">
        <v>2680.4810000000002</v>
      </c>
      <c r="F57" s="5">
        <v>4699.769284</v>
      </c>
      <c r="G57" s="5"/>
      <c r="H57" s="5"/>
      <c r="I57" s="5"/>
      <c r="J57" s="24">
        <v>6.2874850059975991</v>
      </c>
      <c r="K57" s="5">
        <v>3035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35">
      <c r="A58" s="33">
        <f t="shared" si="0"/>
        <v>35674</v>
      </c>
      <c r="B58" s="5"/>
      <c r="C58" s="5">
        <v>329074</v>
      </c>
      <c r="D58" s="5">
        <v>34884</v>
      </c>
      <c r="E58" s="5">
        <v>2595.1280000000002</v>
      </c>
      <c r="F58" s="5">
        <v>4707.4073170000001</v>
      </c>
      <c r="G58" s="5"/>
      <c r="H58" s="5"/>
      <c r="I58" s="5"/>
      <c r="J58" s="24">
        <v>7.2540411095589601</v>
      </c>
      <c r="K58" s="5">
        <v>3275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35">
      <c r="A59" s="33">
        <f t="shared" si="0"/>
        <v>35704</v>
      </c>
      <c r="B59" s="5"/>
      <c r="C59" s="5">
        <v>340744</v>
      </c>
      <c r="D59" s="5">
        <v>30449</v>
      </c>
      <c r="E59" s="5">
        <v>2652.2629999999999</v>
      </c>
      <c r="F59" s="5">
        <v>4557.8636560000004</v>
      </c>
      <c r="G59" s="5"/>
      <c r="H59" s="5"/>
      <c r="I59" s="5"/>
      <c r="J59" s="24">
        <v>7.8406041935804343</v>
      </c>
      <c r="K59" s="5">
        <v>3670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35">
      <c r="A60" s="33">
        <f t="shared" si="0"/>
        <v>35735</v>
      </c>
      <c r="B60" s="5"/>
      <c r="C60" s="5">
        <v>330559</v>
      </c>
      <c r="D60" s="5">
        <v>18551</v>
      </c>
      <c r="E60" s="5">
        <v>2292.1759999999999</v>
      </c>
      <c r="F60" s="5">
        <v>4679.0348489999997</v>
      </c>
      <c r="G60" s="5"/>
      <c r="H60" s="5"/>
      <c r="I60" s="5"/>
      <c r="J60" s="24">
        <v>8.7498762743739249</v>
      </c>
      <c r="K60" s="5">
        <v>3648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35">
      <c r="A61" s="33">
        <f t="shared" si="0"/>
        <v>35765</v>
      </c>
      <c r="B61" s="5"/>
      <c r="C61" s="5">
        <v>355643</v>
      </c>
      <c r="D61" s="5">
        <v>18845</v>
      </c>
      <c r="E61" s="5">
        <v>2276.645</v>
      </c>
      <c r="F61" s="5">
        <v>4704.3467700000001</v>
      </c>
      <c r="G61" s="5"/>
      <c r="H61" s="5"/>
      <c r="I61" s="5"/>
      <c r="J61" s="24">
        <v>10.268297494574876</v>
      </c>
      <c r="K61" s="5">
        <v>4650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35">
      <c r="A62" s="33">
        <f t="shared" si="0"/>
        <v>35796</v>
      </c>
      <c r="B62" s="5"/>
      <c r="C62" s="5">
        <v>450697</v>
      </c>
      <c r="D62" s="5">
        <v>14339</v>
      </c>
      <c r="E62" s="5">
        <v>1745.671</v>
      </c>
      <c r="F62" s="5">
        <v>4149.0029960000002</v>
      </c>
      <c r="G62" s="5"/>
      <c r="H62" s="5"/>
      <c r="I62" s="5"/>
      <c r="J62" s="24">
        <v>15.335463258785934</v>
      </c>
      <c r="K62" s="5">
        <v>10375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35">
      <c r="A63" s="33">
        <f t="shared" si="0"/>
        <v>35827</v>
      </c>
      <c r="B63" s="5"/>
      <c r="C63" s="5">
        <v>430241</v>
      </c>
      <c r="D63" s="5">
        <v>6635</v>
      </c>
      <c r="E63" s="5">
        <v>1149.7650000000001</v>
      </c>
      <c r="F63" s="5">
        <v>3812.2247940000002</v>
      </c>
      <c r="G63" s="5"/>
      <c r="H63" s="5"/>
      <c r="I63" s="5"/>
      <c r="J63" s="24">
        <v>28.721053137311443</v>
      </c>
      <c r="K63" s="5">
        <v>8750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35">
      <c r="A64" s="33">
        <f t="shared" si="0"/>
        <v>35855</v>
      </c>
      <c r="B64" s="5"/>
      <c r="C64" s="5">
        <v>449824</v>
      </c>
      <c r="D64" s="5">
        <v>5831</v>
      </c>
      <c r="E64" s="5">
        <v>1460.6389999999999</v>
      </c>
      <c r="F64" s="5">
        <v>4554.7149559999998</v>
      </c>
      <c r="G64" s="5"/>
      <c r="H64" s="5"/>
      <c r="I64" s="5"/>
      <c r="J64" s="24">
        <v>35.63461538461538</v>
      </c>
      <c r="K64" s="5">
        <v>8325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35">
      <c r="A65" s="33">
        <f t="shared" si="0"/>
        <v>35886</v>
      </c>
      <c r="B65" s="5"/>
      <c r="C65" s="5">
        <v>453396</v>
      </c>
      <c r="D65" s="5">
        <v>4565</v>
      </c>
      <c r="E65" s="5">
        <v>1459.8720000000001</v>
      </c>
      <c r="F65" s="5">
        <v>3652.1484129999999</v>
      </c>
      <c r="G65" s="5"/>
      <c r="H65" s="5"/>
      <c r="I65" s="5"/>
      <c r="J65" s="24">
        <v>41.400114920513282</v>
      </c>
      <c r="K65" s="5">
        <v>7970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35">
      <c r="A66" s="33">
        <f t="shared" si="0"/>
        <v>35916</v>
      </c>
      <c r="B66" s="5"/>
      <c r="C66" s="5">
        <v>493909</v>
      </c>
      <c r="D66" s="5">
        <v>2136</v>
      </c>
      <c r="E66" s="5">
        <v>1461.578</v>
      </c>
      <c r="F66" s="5">
        <v>3919.7523270000002</v>
      </c>
      <c r="G66" s="5"/>
      <c r="H66" s="5"/>
      <c r="I66" s="5"/>
      <c r="J66" s="24">
        <v>48.45646564082962</v>
      </c>
      <c r="K66" s="5">
        <v>10525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35">
      <c r="A67" s="33">
        <f t="shared" si="0"/>
        <v>35947</v>
      </c>
      <c r="B67" s="5"/>
      <c r="C67" s="5">
        <v>565785</v>
      </c>
      <c r="D67" s="5">
        <v>2051</v>
      </c>
      <c r="E67" s="5">
        <v>1623.3820000000001</v>
      </c>
      <c r="F67" s="5">
        <v>4481.3642159999999</v>
      </c>
      <c r="G67" s="5"/>
      <c r="H67" s="5"/>
      <c r="I67" s="5"/>
      <c r="J67" s="24">
        <v>55.921178496269341</v>
      </c>
      <c r="K67" s="5">
        <v>14900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35">
      <c r="A68" s="33">
        <f t="shared" ref="A68:A131" si="1">DATE(YEAR(A67),MONTH(A67)+1,1)</f>
        <v>35977</v>
      </c>
      <c r="B68" s="5"/>
      <c r="C68" s="5">
        <v>556552</v>
      </c>
      <c r="D68" s="5">
        <v>4958</v>
      </c>
      <c r="E68" s="5">
        <v>1787.181</v>
      </c>
      <c r="F68" s="5">
        <v>4578.9019829999997</v>
      </c>
      <c r="G68" s="5"/>
      <c r="H68" s="5"/>
      <c r="I68" s="5"/>
      <c r="J68" s="24">
        <v>68.855570316948203</v>
      </c>
      <c r="K68" s="5">
        <v>13000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35">
      <c r="A69" s="33">
        <f t="shared" si="1"/>
        <v>36008</v>
      </c>
      <c r="B69" s="5"/>
      <c r="C69" s="5">
        <v>540861</v>
      </c>
      <c r="D69" s="5">
        <v>5101</v>
      </c>
      <c r="E69" s="5">
        <v>1944.25</v>
      </c>
      <c r="F69" s="5">
        <v>4091.7769119999998</v>
      </c>
      <c r="G69" s="5"/>
      <c r="H69" s="5"/>
      <c r="I69" s="5"/>
      <c r="J69" s="24">
        <v>77.955421800056428</v>
      </c>
      <c r="K69" s="5">
        <v>11075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35">
      <c r="A70" s="33">
        <f t="shared" si="1"/>
        <v>36039</v>
      </c>
      <c r="B70" s="5"/>
      <c r="C70" s="5">
        <v>550404</v>
      </c>
      <c r="D70" s="5">
        <v>4554</v>
      </c>
      <c r="E70" s="5">
        <v>1685.15</v>
      </c>
      <c r="F70" s="5">
        <v>4009.4168639999998</v>
      </c>
      <c r="G70" s="5"/>
      <c r="H70" s="5"/>
      <c r="I70" s="5"/>
      <c r="J70" s="24">
        <v>82.60303284026422</v>
      </c>
      <c r="K70" s="5">
        <v>10700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35">
      <c r="A71" s="33">
        <f t="shared" si="1"/>
        <v>36069</v>
      </c>
      <c r="B71" s="5"/>
      <c r="C71" s="5">
        <v>531977</v>
      </c>
      <c r="D71" s="5">
        <v>3634</v>
      </c>
      <c r="E71" s="5">
        <v>1780.4680000000001</v>
      </c>
      <c r="F71" s="5">
        <v>3826.5801489999999</v>
      </c>
      <c r="G71" s="5"/>
      <c r="H71" s="5"/>
      <c r="I71" s="5"/>
      <c r="J71" s="24">
        <v>80.372281607077042</v>
      </c>
      <c r="K71" s="5">
        <v>7550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35">
      <c r="A72" s="33">
        <f t="shared" si="1"/>
        <v>36100</v>
      </c>
      <c r="B72" s="5"/>
      <c r="C72" s="5">
        <v>550936</v>
      </c>
      <c r="D72" s="5">
        <v>2394</v>
      </c>
      <c r="E72" s="5">
        <v>1672.2570000000001</v>
      </c>
      <c r="F72" s="5">
        <v>3865.4366970000001</v>
      </c>
      <c r="G72" s="5"/>
      <c r="H72" s="5"/>
      <c r="I72" s="5"/>
      <c r="J72" s="24">
        <v>78.310730863748063</v>
      </c>
      <c r="K72" s="5">
        <v>7300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35">
      <c r="A73" s="33">
        <f t="shared" si="1"/>
        <v>36130</v>
      </c>
      <c r="B73" s="5"/>
      <c r="C73" s="5">
        <v>577381</v>
      </c>
      <c r="D73" s="5">
        <v>1813</v>
      </c>
      <c r="E73" s="5">
        <v>1536.6859999999999</v>
      </c>
      <c r="F73" s="5">
        <v>3906.3182919999999</v>
      </c>
      <c r="G73" s="5"/>
      <c r="H73" s="5"/>
      <c r="I73" s="5"/>
      <c r="J73" s="24">
        <v>77.53824134537976</v>
      </c>
      <c r="K73" s="5">
        <v>8025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35">
      <c r="A74" s="33">
        <f t="shared" si="1"/>
        <v>36161</v>
      </c>
      <c r="B74" s="5"/>
      <c r="C74" s="5">
        <v>596541</v>
      </c>
      <c r="D74" s="5">
        <v>1896</v>
      </c>
      <c r="E74" s="5">
        <v>975.80100000000004</v>
      </c>
      <c r="F74" s="5">
        <v>3017.8515080000002</v>
      </c>
      <c r="G74" s="5"/>
      <c r="H74" s="5"/>
      <c r="I74" s="5"/>
      <c r="J74" s="24">
        <v>71.577268530177108</v>
      </c>
      <c r="K74" s="5">
        <v>8950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35">
      <c r="A75" s="33">
        <f t="shared" si="1"/>
        <v>36192</v>
      </c>
      <c r="B75" s="5"/>
      <c r="C75" s="5">
        <v>602666</v>
      </c>
      <c r="D75" s="5">
        <v>3325</v>
      </c>
      <c r="E75" s="5">
        <v>1476.171</v>
      </c>
      <c r="F75" s="5">
        <v>3194.9886590000001</v>
      </c>
      <c r="G75" s="5"/>
      <c r="H75" s="5"/>
      <c r="I75" s="5"/>
      <c r="J75" s="24">
        <v>54.531203344281856</v>
      </c>
      <c r="K75" s="5">
        <v>8730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35">
      <c r="A76" s="33">
        <f t="shared" si="1"/>
        <v>36220</v>
      </c>
      <c r="B76" s="5"/>
      <c r="C76" s="5">
        <v>603325</v>
      </c>
      <c r="D76" s="5">
        <v>3619</v>
      </c>
      <c r="E76" s="5">
        <v>1550.211</v>
      </c>
      <c r="F76" s="5">
        <v>3952.970335</v>
      </c>
      <c r="G76" s="5"/>
      <c r="H76" s="5"/>
      <c r="I76" s="5"/>
      <c r="J76" s="24">
        <v>46.469587409612906</v>
      </c>
      <c r="K76" s="5">
        <v>8685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35">
      <c r="A77" s="33">
        <f t="shared" si="1"/>
        <v>36251</v>
      </c>
      <c r="B77" s="5"/>
      <c r="C77" s="5">
        <v>613140</v>
      </c>
      <c r="D77" s="5">
        <v>5264</v>
      </c>
      <c r="E77" s="5">
        <v>1465.328</v>
      </c>
      <c r="F77" s="5">
        <v>3886.1159520000001</v>
      </c>
      <c r="G77" s="5"/>
      <c r="H77" s="5"/>
      <c r="I77" s="5"/>
      <c r="J77" s="24">
        <v>38.963765662038625</v>
      </c>
      <c r="K77" s="5">
        <v>8260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35">
      <c r="A78" s="33">
        <f t="shared" si="1"/>
        <v>36281</v>
      </c>
      <c r="B78" s="5"/>
      <c r="C78" s="5">
        <v>628260</v>
      </c>
      <c r="D78" s="5">
        <v>4056</v>
      </c>
      <c r="E78" s="5">
        <v>1603.0719999999999</v>
      </c>
      <c r="F78" s="5">
        <v>4041.270849</v>
      </c>
      <c r="G78" s="5"/>
      <c r="H78" s="5"/>
      <c r="I78" s="5"/>
      <c r="J78" s="24">
        <v>31.726002703920692</v>
      </c>
      <c r="K78" s="5">
        <v>8105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35">
      <c r="A79" s="33">
        <f t="shared" si="1"/>
        <v>36312</v>
      </c>
      <c r="B79" s="5"/>
      <c r="C79" s="5">
        <v>615411</v>
      </c>
      <c r="D79" s="5">
        <v>4719</v>
      </c>
      <c r="E79" s="5">
        <v>1586.6030000000001</v>
      </c>
      <c r="F79" s="5">
        <v>3595.0366140000001</v>
      </c>
      <c r="G79" s="5"/>
      <c r="H79" s="5"/>
      <c r="I79" s="5"/>
      <c r="J79" s="24">
        <v>25.073619631901856</v>
      </c>
      <c r="K79" s="5">
        <v>6726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35">
      <c r="A80" s="33">
        <f t="shared" si="1"/>
        <v>36342</v>
      </c>
      <c r="B80" s="5"/>
      <c r="C80" s="5">
        <v>627207</v>
      </c>
      <c r="D80" s="5">
        <v>8636</v>
      </c>
      <c r="E80" s="5">
        <v>1621.9580000000001</v>
      </c>
      <c r="F80" s="5">
        <v>4233.8398880000004</v>
      </c>
      <c r="G80" s="5"/>
      <c r="H80" s="5"/>
      <c r="I80" s="5"/>
      <c r="J80" s="24">
        <v>13.358435427672289</v>
      </c>
      <c r="K80" s="5">
        <v>6875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35">
      <c r="A81" s="33">
        <f t="shared" si="1"/>
        <v>36373</v>
      </c>
      <c r="B81" s="5"/>
      <c r="C81" s="5">
        <v>636529</v>
      </c>
      <c r="D81" s="5">
        <v>8927</v>
      </c>
      <c r="E81" s="5">
        <v>1718.277</v>
      </c>
      <c r="F81" s="5">
        <v>4623.8162199999997</v>
      </c>
      <c r="G81" s="5"/>
      <c r="H81" s="5"/>
      <c r="I81" s="5"/>
      <c r="J81" s="24">
        <v>5.5808054116900978</v>
      </c>
      <c r="K81" s="5">
        <v>7697.5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35">
      <c r="A82" s="33">
        <f t="shared" si="1"/>
        <v>36404</v>
      </c>
      <c r="B82" s="5"/>
      <c r="C82" s="5">
        <v>652289</v>
      </c>
      <c r="D82" s="5">
        <v>11055</v>
      </c>
      <c r="E82" s="5">
        <v>1723.3389999999999</v>
      </c>
      <c r="F82" s="5">
        <v>4537.1161110000003</v>
      </c>
      <c r="G82" s="5"/>
      <c r="H82" s="5"/>
      <c r="I82" s="5"/>
      <c r="J82" s="24">
        <v>1.080089667821476</v>
      </c>
      <c r="K82" s="5">
        <v>8386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35">
      <c r="A83" s="33">
        <f t="shared" si="1"/>
        <v>36434</v>
      </c>
      <c r="B83" s="5"/>
      <c r="C83" s="5">
        <v>628896</v>
      </c>
      <c r="D83" s="5">
        <v>13450</v>
      </c>
      <c r="E83" s="5">
        <v>1761.1890000000001</v>
      </c>
      <c r="F83" s="5">
        <v>4638.1905839999999</v>
      </c>
      <c r="G83" s="5"/>
      <c r="H83" s="5"/>
      <c r="I83" s="5"/>
      <c r="J83" s="24">
        <v>1.4151425360171646</v>
      </c>
      <c r="K83" s="5">
        <v>6900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35">
      <c r="A84" s="33">
        <f t="shared" si="1"/>
        <v>36465</v>
      </c>
      <c r="B84" s="5"/>
      <c r="C84" s="5">
        <v>639347</v>
      </c>
      <c r="D84" s="5">
        <v>13708</v>
      </c>
      <c r="E84" s="5">
        <v>1744.9929999999999</v>
      </c>
      <c r="F84" s="5">
        <v>4457.0853020000004</v>
      </c>
      <c r="G84" s="5"/>
      <c r="H84" s="5"/>
      <c r="I84" s="5"/>
      <c r="J84" s="24">
        <v>1.5772548619263884</v>
      </c>
      <c r="K84" s="5">
        <v>7425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35">
      <c r="A85" s="33">
        <f t="shared" si="1"/>
        <v>36495</v>
      </c>
      <c r="B85" s="5"/>
      <c r="C85" s="5">
        <v>646205</v>
      </c>
      <c r="D85" s="5">
        <v>15348</v>
      </c>
      <c r="E85" s="5">
        <v>1519.81</v>
      </c>
      <c r="F85" s="5">
        <v>4487.1704609999997</v>
      </c>
      <c r="G85" s="5"/>
      <c r="H85" s="5"/>
      <c r="I85" s="5"/>
      <c r="J85" s="24">
        <v>2.0053408575603395</v>
      </c>
      <c r="K85" s="5">
        <v>7100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35">
      <c r="A86" s="33">
        <f t="shared" si="1"/>
        <v>36526</v>
      </c>
      <c r="B86" s="5"/>
      <c r="C86" s="5">
        <v>650597</v>
      </c>
      <c r="D86" s="5">
        <v>11032</v>
      </c>
      <c r="E86" s="5">
        <v>1208.9570000000001</v>
      </c>
      <c r="F86" s="5">
        <v>4394.0071099999996</v>
      </c>
      <c r="G86" s="5"/>
      <c r="H86" s="5"/>
      <c r="I86" s="5"/>
      <c r="J86" s="24">
        <v>0.35225048923681002</v>
      </c>
      <c r="K86" s="5">
        <v>7425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35">
      <c r="A87" s="33">
        <f t="shared" si="1"/>
        <v>36557</v>
      </c>
      <c r="B87" s="5"/>
      <c r="C87" s="5">
        <v>653334</v>
      </c>
      <c r="D87" s="5">
        <v>18065</v>
      </c>
      <c r="E87" s="5">
        <v>1525.2070000000001</v>
      </c>
      <c r="F87" s="5">
        <v>4793.8207979999997</v>
      </c>
      <c r="G87" s="5"/>
      <c r="H87" s="5"/>
      <c r="I87" s="5"/>
      <c r="J87" s="24">
        <v>-0.8405391043910887</v>
      </c>
      <c r="K87" s="5">
        <v>7505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35">
      <c r="A88" s="33">
        <f t="shared" si="1"/>
        <v>36586</v>
      </c>
      <c r="B88" s="5"/>
      <c r="C88" s="5">
        <v>656451</v>
      </c>
      <c r="D88" s="5">
        <v>21803</v>
      </c>
      <c r="E88" s="5">
        <v>1816.086</v>
      </c>
      <c r="F88" s="5">
        <v>4951.453477</v>
      </c>
      <c r="G88" s="5"/>
      <c r="H88" s="5"/>
      <c r="I88" s="5"/>
      <c r="J88" s="24">
        <v>-1.0986883500314359</v>
      </c>
      <c r="K88" s="5">
        <v>7590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35">
      <c r="A89" s="33">
        <f t="shared" si="1"/>
        <v>36617</v>
      </c>
      <c r="B89" s="5"/>
      <c r="C89" s="5">
        <v>665651</v>
      </c>
      <c r="D89" s="5">
        <v>20768</v>
      </c>
      <c r="E89" s="5">
        <v>1699.595</v>
      </c>
      <c r="F89" s="5">
        <v>5011.9849480000003</v>
      </c>
      <c r="G89" s="5"/>
      <c r="H89" s="5"/>
      <c r="I89" s="5"/>
      <c r="J89" s="24">
        <v>0.14621308119698234</v>
      </c>
      <c r="K89" s="5">
        <v>7945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35">
      <c r="A90" s="33">
        <f t="shared" si="1"/>
        <v>36647</v>
      </c>
      <c r="B90" s="5"/>
      <c r="C90" s="5">
        <v>683477</v>
      </c>
      <c r="D90" s="5">
        <v>27505</v>
      </c>
      <c r="E90" s="5">
        <v>1753.454</v>
      </c>
      <c r="F90" s="5">
        <v>4857.9444469999999</v>
      </c>
      <c r="G90" s="5"/>
      <c r="H90" s="5"/>
      <c r="I90" s="5"/>
      <c r="J90" s="24">
        <v>1.2707101314695939</v>
      </c>
      <c r="K90" s="5">
        <v>8670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35">
      <c r="A91" s="33">
        <f t="shared" si="1"/>
        <v>36678</v>
      </c>
      <c r="B91" s="5"/>
      <c r="C91" s="5">
        <v>684335</v>
      </c>
      <c r="D91" s="5">
        <v>27489</v>
      </c>
      <c r="E91" s="5">
        <v>1841.4649999999999</v>
      </c>
      <c r="F91" s="5">
        <v>5346.1964770000004</v>
      </c>
      <c r="G91" s="5"/>
      <c r="H91" s="5"/>
      <c r="I91" s="5"/>
      <c r="J91" s="24">
        <v>2.143522833178007</v>
      </c>
      <c r="K91" s="5">
        <v>8720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35">
      <c r="A92" s="33">
        <f t="shared" si="1"/>
        <v>36708</v>
      </c>
      <c r="B92" s="5"/>
      <c r="C92" s="5">
        <v>689935</v>
      </c>
      <c r="D92" s="5">
        <v>28452</v>
      </c>
      <c r="E92" s="5">
        <v>1953.913</v>
      </c>
      <c r="F92" s="5">
        <v>5390.9872379999997</v>
      </c>
      <c r="G92" s="5"/>
      <c r="H92" s="5"/>
      <c r="I92" s="5"/>
      <c r="J92" s="24">
        <v>4.5610034207525425</v>
      </c>
      <c r="K92" s="5">
        <v>9003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35">
      <c r="A93" s="33">
        <f t="shared" si="1"/>
        <v>36739</v>
      </c>
      <c r="B93" s="5"/>
      <c r="C93" s="5">
        <v>685602</v>
      </c>
      <c r="D93" s="5">
        <v>29272</v>
      </c>
      <c r="E93" s="5">
        <v>2169.6309999999999</v>
      </c>
      <c r="F93" s="5">
        <v>5576.0159659999999</v>
      </c>
      <c r="G93" s="5"/>
      <c r="H93" s="5"/>
      <c r="I93" s="5"/>
      <c r="J93" s="24">
        <v>6.1117228951847142</v>
      </c>
      <c r="K93" s="5">
        <v>8290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35">
      <c r="A94" s="33">
        <f t="shared" si="1"/>
        <v>36770</v>
      </c>
      <c r="B94" s="5"/>
      <c r="C94" s="5">
        <v>686455</v>
      </c>
      <c r="D94" s="5">
        <v>27657</v>
      </c>
      <c r="E94" s="5">
        <v>2325.2199999999998</v>
      </c>
      <c r="F94" s="5">
        <v>5772.9178949999996</v>
      </c>
      <c r="G94" s="5"/>
      <c r="H94" s="5"/>
      <c r="I94" s="5"/>
      <c r="J94" s="24">
        <v>6.78931451612904</v>
      </c>
      <c r="K94" s="5">
        <v>8780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35">
      <c r="A95" s="33">
        <f t="shared" si="1"/>
        <v>36800</v>
      </c>
      <c r="B95" s="5"/>
      <c r="C95" s="5">
        <v>707447</v>
      </c>
      <c r="D95" s="5">
        <v>31097</v>
      </c>
      <c r="E95" s="5">
        <v>2419.41</v>
      </c>
      <c r="F95" s="5">
        <v>5563.3381429999999</v>
      </c>
      <c r="G95" s="5"/>
      <c r="H95" s="5"/>
      <c r="I95" s="5"/>
      <c r="J95" s="24">
        <v>7.9693718200594548</v>
      </c>
      <c r="K95" s="5">
        <v>9395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35">
      <c r="A96" s="33">
        <f t="shared" si="1"/>
        <v>36831</v>
      </c>
      <c r="B96" s="5"/>
      <c r="C96" s="5">
        <v>720262</v>
      </c>
      <c r="D96" s="5">
        <v>31859</v>
      </c>
      <c r="E96" s="5">
        <v>2109.7739999999999</v>
      </c>
      <c r="F96" s="5">
        <v>5239.3263200000001</v>
      </c>
      <c r="G96" s="5"/>
      <c r="H96" s="5"/>
      <c r="I96" s="5"/>
      <c r="J96" s="24">
        <v>9.1206030150753836</v>
      </c>
      <c r="K96" s="5">
        <v>9530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35">
      <c r="A97" s="33">
        <f t="shared" si="1"/>
        <v>36861</v>
      </c>
      <c r="B97" s="5"/>
      <c r="C97" s="5">
        <v>747027</v>
      </c>
      <c r="D97" s="5">
        <v>23392</v>
      </c>
      <c r="E97" s="5">
        <v>1561.0530000000001</v>
      </c>
      <c r="F97" s="5">
        <v>5226.0233609999996</v>
      </c>
      <c r="G97" s="5"/>
      <c r="H97" s="5"/>
      <c r="I97" s="5"/>
      <c r="J97" s="24">
        <v>9.3455174117065845</v>
      </c>
      <c r="K97" s="5">
        <v>9595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35">
      <c r="A98" s="33">
        <f t="shared" si="1"/>
        <v>36892</v>
      </c>
      <c r="B98" s="5"/>
      <c r="C98" s="5">
        <v>738731</v>
      </c>
      <c r="D98" s="5">
        <v>21158</v>
      </c>
      <c r="E98" s="5">
        <v>1765.1759999999999</v>
      </c>
      <c r="F98" s="5">
        <v>4890.3408520000003</v>
      </c>
      <c r="G98" s="5"/>
      <c r="H98" s="5"/>
      <c r="I98" s="5"/>
      <c r="J98" s="24">
        <v>8.2780811232449132</v>
      </c>
      <c r="K98" s="5">
        <v>9450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35">
      <c r="A99" s="33">
        <f t="shared" si="1"/>
        <v>36923</v>
      </c>
      <c r="B99" s="5"/>
      <c r="C99" s="5">
        <v>755898</v>
      </c>
      <c r="D99" s="5">
        <v>22857</v>
      </c>
      <c r="E99" s="5">
        <v>1937.3109999999999</v>
      </c>
      <c r="F99" s="5">
        <v>4738.518881</v>
      </c>
      <c r="G99" s="5"/>
      <c r="H99" s="5"/>
      <c r="I99" s="5"/>
      <c r="J99" s="24">
        <v>9.1440541725532363</v>
      </c>
      <c r="K99" s="5">
        <v>9835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35">
      <c r="A100" s="33">
        <f t="shared" si="1"/>
        <v>36951</v>
      </c>
      <c r="B100" s="5"/>
      <c r="C100" s="5">
        <v>766813</v>
      </c>
      <c r="D100" s="5">
        <v>24788</v>
      </c>
      <c r="E100" s="5">
        <v>1849.7629999999999</v>
      </c>
      <c r="F100" s="5">
        <v>5238.0457809999998</v>
      </c>
      <c r="G100" s="5"/>
      <c r="H100" s="5"/>
      <c r="I100" s="5"/>
      <c r="J100" s="24">
        <v>10.619555642556511</v>
      </c>
      <c r="K100" s="5">
        <v>10400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35">
      <c r="A101" s="33">
        <f t="shared" si="1"/>
        <v>36982</v>
      </c>
      <c r="B101" s="5"/>
      <c r="C101" s="5">
        <v>792227</v>
      </c>
      <c r="D101" s="5">
        <v>21676</v>
      </c>
      <c r="E101" s="5">
        <v>1865.154</v>
      </c>
      <c r="F101" s="5">
        <v>4785.7042789999996</v>
      </c>
      <c r="G101" s="5"/>
      <c r="H101" s="5"/>
      <c r="I101" s="5"/>
      <c r="J101" s="24">
        <v>10.507105314385832</v>
      </c>
      <c r="K101" s="5">
        <v>11675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35">
      <c r="A102" s="33">
        <f t="shared" si="1"/>
        <v>37012</v>
      </c>
      <c r="B102" s="5"/>
      <c r="C102" s="5">
        <v>788321</v>
      </c>
      <c r="D102" s="5">
        <v>29194</v>
      </c>
      <c r="E102" s="5">
        <v>2003.374</v>
      </c>
      <c r="F102" s="5">
        <v>4850.6105900000002</v>
      </c>
      <c r="G102" s="5"/>
      <c r="H102" s="5"/>
      <c r="I102" s="5"/>
      <c r="J102" s="24">
        <v>10.819941122532706</v>
      </c>
      <c r="K102" s="5">
        <v>11058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35">
      <c r="A103" s="33">
        <f t="shared" si="1"/>
        <v>37043</v>
      </c>
      <c r="B103" s="5"/>
      <c r="C103" s="5">
        <v>796441</v>
      </c>
      <c r="D103" s="5">
        <v>28946</v>
      </c>
      <c r="E103" s="5">
        <v>2359.9319999999998</v>
      </c>
      <c r="F103" s="5">
        <v>4846.6587550000004</v>
      </c>
      <c r="G103" s="5"/>
      <c r="H103" s="5"/>
      <c r="I103" s="5"/>
      <c r="J103" s="24">
        <v>12.111025739531325</v>
      </c>
      <c r="K103" s="5">
        <v>11440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35">
      <c r="A104" s="33">
        <f t="shared" si="1"/>
        <v>37073</v>
      </c>
      <c r="B104" s="5"/>
      <c r="C104" s="5">
        <v>771136</v>
      </c>
      <c r="D104" s="5">
        <v>26379</v>
      </c>
      <c r="E104" s="5">
        <v>2172.433</v>
      </c>
      <c r="F104" s="5">
        <v>4865.7407979999998</v>
      </c>
      <c r="G104" s="5"/>
      <c r="H104" s="5"/>
      <c r="I104" s="5"/>
      <c r="J104" s="24">
        <v>13.043478260869543</v>
      </c>
      <c r="K104" s="5">
        <v>9525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35">
      <c r="A105" s="33">
        <f t="shared" si="1"/>
        <v>37104</v>
      </c>
      <c r="B105" s="5"/>
      <c r="C105" s="5">
        <v>774038</v>
      </c>
      <c r="D105" s="5">
        <v>27415</v>
      </c>
      <c r="E105" s="5">
        <v>2355.3919999999998</v>
      </c>
      <c r="F105" s="5">
        <v>5123.7973890000003</v>
      </c>
      <c r="G105" s="5"/>
      <c r="H105" s="5"/>
      <c r="I105" s="5"/>
      <c r="J105" s="24">
        <v>12.231709042879375</v>
      </c>
      <c r="K105" s="5">
        <v>8865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35">
      <c r="A106" s="33">
        <f t="shared" si="1"/>
        <v>37135</v>
      </c>
      <c r="B106" s="5"/>
      <c r="C106" s="5">
        <v>783104</v>
      </c>
      <c r="D106" s="5">
        <v>26051</v>
      </c>
      <c r="E106" s="5">
        <v>2391.9549999999999</v>
      </c>
      <c r="F106" s="5">
        <v>4350.1043760000002</v>
      </c>
      <c r="G106" s="5"/>
      <c r="H106" s="5"/>
      <c r="I106" s="5"/>
      <c r="J106" s="24">
        <v>13.012696464813295</v>
      </c>
      <c r="K106" s="5">
        <v>9675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35">
      <c r="A107" s="33">
        <f t="shared" si="1"/>
        <v>37165</v>
      </c>
      <c r="B107" s="5"/>
      <c r="C107" s="5">
        <v>808514</v>
      </c>
      <c r="D107" s="5">
        <v>27786</v>
      </c>
      <c r="E107" s="5">
        <v>2637.9690000000001</v>
      </c>
      <c r="F107" s="5">
        <v>4519.4554870000002</v>
      </c>
      <c r="G107" s="5"/>
      <c r="H107" s="5"/>
      <c r="I107" s="5"/>
      <c r="J107" s="24">
        <v>12.471422572668306</v>
      </c>
      <c r="K107" s="5">
        <v>10435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35">
      <c r="A108" s="33">
        <f t="shared" si="1"/>
        <v>37196</v>
      </c>
      <c r="B108" s="5"/>
      <c r="C108" s="5">
        <v>821691</v>
      </c>
      <c r="D108" s="5">
        <v>27453</v>
      </c>
      <c r="E108" s="5">
        <v>2381.4560000000001</v>
      </c>
      <c r="F108" s="5">
        <v>3894.7020670000002</v>
      </c>
      <c r="G108" s="5"/>
      <c r="H108" s="5"/>
      <c r="I108" s="5"/>
      <c r="J108" s="24">
        <v>12.908128022104545</v>
      </c>
      <c r="K108" s="5">
        <v>10430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35">
      <c r="A109" s="33">
        <f t="shared" si="1"/>
        <v>37226</v>
      </c>
      <c r="B109" s="5"/>
      <c r="C109" s="5">
        <v>844054</v>
      </c>
      <c r="D109" s="5">
        <v>15926</v>
      </c>
      <c r="E109" s="5">
        <v>1739.713</v>
      </c>
      <c r="F109" s="5">
        <v>4217.225649</v>
      </c>
      <c r="G109" s="5"/>
      <c r="H109" s="5"/>
      <c r="I109" s="5"/>
      <c r="J109" s="24">
        <v>12.549125897818136</v>
      </c>
      <c r="K109" s="5">
        <v>10400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35">
      <c r="A110" s="33">
        <f t="shared" si="1"/>
        <v>37257</v>
      </c>
      <c r="B110" s="5"/>
      <c r="C110" s="5">
        <v>838025</v>
      </c>
      <c r="D110" s="5">
        <v>22696</v>
      </c>
      <c r="E110" s="5">
        <v>2271.366</v>
      </c>
      <c r="F110" s="5">
        <v>4087.603533</v>
      </c>
      <c r="G110" s="5">
        <v>188.6</v>
      </c>
      <c r="H110" s="5">
        <v>268.8</v>
      </c>
      <c r="I110" s="5">
        <v>1630.6</v>
      </c>
      <c r="J110" s="24">
        <v>14.416929311121104</v>
      </c>
      <c r="K110" s="5">
        <v>10320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35">
      <c r="A111" s="33">
        <f t="shared" si="1"/>
        <v>37288</v>
      </c>
      <c r="B111" s="5"/>
      <c r="C111" s="5">
        <v>837160</v>
      </c>
      <c r="D111" s="5">
        <v>22686</v>
      </c>
      <c r="E111" s="5">
        <v>1756.8130000000001</v>
      </c>
      <c r="F111" s="5">
        <v>4197.0380740000001</v>
      </c>
      <c r="G111" s="5">
        <v>185.5</v>
      </c>
      <c r="H111" s="5">
        <v>285.3</v>
      </c>
      <c r="I111" s="5">
        <v>1711.4</v>
      </c>
      <c r="J111" s="24">
        <v>14.783310171072891</v>
      </c>
      <c r="K111" s="5">
        <v>10189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35">
      <c r="A112" s="33">
        <f t="shared" si="1"/>
        <v>37316</v>
      </c>
      <c r="B112" s="5"/>
      <c r="C112" s="5">
        <v>831410</v>
      </c>
      <c r="D112" s="5">
        <v>28671</v>
      </c>
      <c r="E112" s="5">
        <v>1968.88</v>
      </c>
      <c r="F112" s="5">
        <v>4554.9473029999999</v>
      </c>
      <c r="G112" s="5">
        <v>190.4</v>
      </c>
      <c r="H112" s="5">
        <v>367.8</v>
      </c>
      <c r="I112" s="5">
        <v>1804.5</v>
      </c>
      <c r="J112" s="24">
        <v>14.09239456949615</v>
      </c>
      <c r="K112" s="5">
        <v>9655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35">
      <c r="A113" s="33">
        <f t="shared" si="1"/>
        <v>37347</v>
      </c>
      <c r="B113" s="5"/>
      <c r="C113" s="5">
        <v>828278</v>
      </c>
      <c r="D113" s="5">
        <v>29359</v>
      </c>
      <c r="E113" s="5">
        <v>2131.73</v>
      </c>
      <c r="F113" s="5">
        <v>4801.3074429999997</v>
      </c>
      <c r="G113" s="5">
        <v>199.6</v>
      </c>
      <c r="H113" s="5">
        <v>383</v>
      </c>
      <c r="I113" s="5">
        <v>1800.3</v>
      </c>
      <c r="J113" s="24">
        <v>13.332456181651509</v>
      </c>
      <c r="K113" s="5">
        <v>9316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35">
      <c r="A114" s="33">
        <f t="shared" si="1"/>
        <v>37377</v>
      </c>
      <c r="B114" s="5"/>
      <c r="C114" s="5">
        <v>833084</v>
      </c>
      <c r="D114" s="5">
        <v>28371</v>
      </c>
      <c r="E114" s="5">
        <v>2277.9050000000002</v>
      </c>
      <c r="F114" s="5">
        <v>4725.1402230000003</v>
      </c>
      <c r="G114" s="5">
        <v>185</v>
      </c>
      <c r="H114" s="5">
        <v>328.7</v>
      </c>
      <c r="I114" s="5">
        <v>1984.5</v>
      </c>
      <c r="J114" s="24">
        <v>12.959326433534081</v>
      </c>
      <c r="K114" s="5">
        <v>8785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35">
      <c r="A115" s="33">
        <f t="shared" si="1"/>
        <v>37408</v>
      </c>
      <c r="B115" s="5"/>
      <c r="C115" s="5">
        <v>838635</v>
      </c>
      <c r="D115" s="5">
        <v>27127</v>
      </c>
      <c r="E115" s="5">
        <v>2159.607</v>
      </c>
      <c r="F115" s="5">
        <v>5094.9307250000002</v>
      </c>
      <c r="G115" s="5">
        <v>213.8</v>
      </c>
      <c r="H115" s="5">
        <v>313.39999999999998</v>
      </c>
      <c r="I115" s="5">
        <v>1911.7</v>
      </c>
      <c r="J115" s="24">
        <v>11.44300726691632</v>
      </c>
      <c r="K115" s="5">
        <v>8730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35">
      <c r="A116" s="33">
        <f t="shared" si="1"/>
        <v>37438</v>
      </c>
      <c r="B116" s="5"/>
      <c r="C116" s="5">
        <v>852717</v>
      </c>
      <c r="D116" s="5">
        <v>26905</v>
      </c>
      <c r="E116" s="5">
        <v>2430.1370000000002</v>
      </c>
      <c r="F116" s="5">
        <v>5001.7741130000004</v>
      </c>
      <c r="G116" s="5">
        <v>231.4</v>
      </c>
      <c r="H116" s="5">
        <v>338.2</v>
      </c>
      <c r="I116" s="5">
        <v>2076.6</v>
      </c>
      <c r="J116" s="24">
        <v>9.8941557794590551</v>
      </c>
      <c r="K116" s="5">
        <v>9108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35">
      <c r="A117" s="33">
        <f t="shared" si="1"/>
        <v>37469</v>
      </c>
      <c r="B117" s="5"/>
      <c r="C117" s="5">
        <v>856834</v>
      </c>
      <c r="D117" s="5">
        <v>27222</v>
      </c>
      <c r="E117" s="5">
        <v>2624.0680000000002</v>
      </c>
      <c r="F117" s="5">
        <v>4927.543361</v>
      </c>
      <c r="G117" s="5">
        <v>239.3</v>
      </c>
      <c r="H117" s="5">
        <v>388.2</v>
      </c>
      <c r="I117" s="5">
        <v>2196.3000000000002</v>
      </c>
      <c r="J117" s="24">
        <v>10.521712500255763</v>
      </c>
      <c r="K117" s="5">
        <v>8867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35">
      <c r="A118" s="33">
        <f t="shared" si="1"/>
        <v>37500</v>
      </c>
      <c r="B118" s="5"/>
      <c r="C118" s="5">
        <v>859706</v>
      </c>
      <c r="D118" s="5">
        <v>27421</v>
      </c>
      <c r="E118" s="5">
        <v>2644.31</v>
      </c>
      <c r="F118" s="5">
        <v>5142.2919149999998</v>
      </c>
      <c r="G118" s="5">
        <v>215.9</v>
      </c>
      <c r="H118" s="5">
        <v>533.5</v>
      </c>
      <c r="I118" s="5">
        <v>2110.6999999999998</v>
      </c>
      <c r="J118" s="24">
        <v>10.433135455998666</v>
      </c>
      <c r="K118" s="5">
        <v>9015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35">
      <c r="A119" s="33">
        <f t="shared" si="1"/>
        <v>37530</v>
      </c>
      <c r="B119" s="5"/>
      <c r="C119" s="5">
        <v>863009</v>
      </c>
      <c r="D119" s="5">
        <v>30976</v>
      </c>
      <c r="E119" s="5">
        <v>2807.3270000000002</v>
      </c>
      <c r="F119" s="5">
        <v>5328.4017020000001</v>
      </c>
      <c r="G119" s="5">
        <v>250.7</v>
      </c>
      <c r="H119" s="5">
        <v>395.1</v>
      </c>
      <c r="I119" s="5">
        <v>2459</v>
      </c>
      <c r="J119" s="24">
        <v>10.212913422995477</v>
      </c>
      <c r="K119" s="5">
        <v>9233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35">
      <c r="A120" s="33">
        <f t="shared" si="1"/>
        <v>37561</v>
      </c>
      <c r="B120" s="5"/>
      <c r="C120" s="5">
        <v>870047</v>
      </c>
      <c r="D120" s="5">
        <v>28378</v>
      </c>
      <c r="E120" s="5">
        <v>2449.652</v>
      </c>
      <c r="F120" s="5">
        <v>4437.1948220000004</v>
      </c>
      <c r="G120" s="5">
        <v>281.7</v>
      </c>
      <c r="H120" s="5">
        <v>458.7</v>
      </c>
      <c r="I120" s="5">
        <v>2215.5</v>
      </c>
      <c r="J120" s="24">
        <v>10.349367260293675</v>
      </c>
      <c r="K120" s="5">
        <v>8976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35">
      <c r="A121" s="33">
        <f t="shared" si="1"/>
        <v>37591</v>
      </c>
      <c r="B121" s="5"/>
      <c r="C121" s="5">
        <v>883908</v>
      </c>
      <c r="D121" s="5">
        <v>17982</v>
      </c>
      <c r="E121" s="5">
        <v>1669.7860000000001</v>
      </c>
      <c r="F121" s="5">
        <v>4860.5984019999996</v>
      </c>
      <c r="G121" s="5">
        <v>268.5</v>
      </c>
      <c r="H121" s="5">
        <v>808.9</v>
      </c>
      <c r="I121" s="5">
        <v>2326.4</v>
      </c>
      <c r="J121" s="24">
        <v>9.8745235606114665</v>
      </c>
      <c r="K121" s="5">
        <v>8940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35">
      <c r="A122" s="33">
        <f t="shared" si="1"/>
        <v>37622</v>
      </c>
      <c r="B122" s="5"/>
      <c r="C122" s="5">
        <v>873683</v>
      </c>
      <c r="D122" s="5">
        <v>26137</v>
      </c>
      <c r="E122" s="5">
        <v>2265.3029999999999</v>
      </c>
      <c r="F122" s="5">
        <v>4997.4340350000002</v>
      </c>
      <c r="G122" s="5">
        <v>245.4</v>
      </c>
      <c r="H122" s="5">
        <v>268.10000000000002</v>
      </c>
      <c r="I122" s="5">
        <v>2225.6999999999998</v>
      </c>
      <c r="J122" s="24">
        <v>8.6848891181021326</v>
      </c>
      <c r="K122" s="5">
        <v>8876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35">
      <c r="A123" s="33">
        <f t="shared" si="1"/>
        <v>37653</v>
      </c>
      <c r="B123" s="5"/>
      <c r="C123" s="5">
        <v>881215</v>
      </c>
      <c r="D123" s="5">
        <v>27106</v>
      </c>
      <c r="E123" s="5">
        <v>1698.751</v>
      </c>
      <c r="F123" s="5">
        <v>4980.868297</v>
      </c>
      <c r="G123" s="5">
        <v>246.8</v>
      </c>
      <c r="H123" s="5">
        <v>264.5</v>
      </c>
      <c r="I123" s="5">
        <v>2307.1999999999998</v>
      </c>
      <c r="J123" s="24">
        <v>7.6037101212924512</v>
      </c>
      <c r="K123" s="5">
        <v>8905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35">
      <c r="A124" s="33">
        <f t="shared" si="1"/>
        <v>37681</v>
      </c>
      <c r="B124" s="5"/>
      <c r="C124" s="5">
        <v>877776</v>
      </c>
      <c r="D124" s="5">
        <v>29299</v>
      </c>
      <c r="E124" s="5">
        <v>2100.3229999999999</v>
      </c>
      <c r="F124" s="5">
        <v>5161.8754209999997</v>
      </c>
      <c r="G124" s="5">
        <v>209.8</v>
      </c>
      <c r="H124" s="5">
        <v>450.3</v>
      </c>
      <c r="I124" s="5">
        <v>2157.4</v>
      </c>
      <c r="J124" s="24">
        <v>7.1653623335704992</v>
      </c>
      <c r="K124" s="5">
        <v>8908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35">
      <c r="A125" s="33">
        <f t="shared" si="1"/>
        <v>37712</v>
      </c>
      <c r="B125" s="5"/>
      <c r="C125" s="5">
        <v>882809</v>
      </c>
      <c r="D125" s="5">
        <v>29653</v>
      </c>
      <c r="E125" s="5">
        <v>2023.491</v>
      </c>
      <c r="F125" s="5">
        <v>5057.0766050000002</v>
      </c>
      <c r="G125" s="5">
        <v>213.3</v>
      </c>
      <c r="H125" s="5">
        <v>322.3</v>
      </c>
      <c r="I125" s="5">
        <v>2086.3000000000002</v>
      </c>
      <c r="J125" s="24">
        <v>7.6186596048074957</v>
      </c>
      <c r="K125" s="5">
        <v>8675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35">
      <c r="A126" s="33">
        <f t="shared" si="1"/>
        <v>37742</v>
      </c>
      <c r="B126" s="5"/>
      <c r="C126" s="5">
        <v>893074</v>
      </c>
      <c r="D126" s="5">
        <v>28267</v>
      </c>
      <c r="E126" s="5">
        <v>2233.3629999999998</v>
      </c>
      <c r="F126" s="5">
        <v>4960.5621369999999</v>
      </c>
      <c r="G126" s="5">
        <v>234.2</v>
      </c>
      <c r="H126" s="5">
        <v>307.3</v>
      </c>
      <c r="I126" s="5">
        <v>2034.3</v>
      </c>
      <c r="J126" s="24">
        <v>7.1544058205335794</v>
      </c>
      <c r="K126" s="5">
        <v>8279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35">
      <c r="A127" s="33">
        <f t="shared" si="1"/>
        <v>37773</v>
      </c>
      <c r="B127" s="5"/>
      <c r="C127" s="5">
        <v>894554</v>
      </c>
      <c r="D127" s="5">
        <v>30315</v>
      </c>
      <c r="E127" s="5">
        <v>2371.3969999999999</v>
      </c>
      <c r="F127" s="5">
        <v>5295.2975319999996</v>
      </c>
      <c r="G127" s="5">
        <v>244.6</v>
      </c>
      <c r="H127" s="5">
        <v>267.3</v>
      </c>
      <c r="I127" s="5">
        <v>1935.1</v>
      </c>
      <c r="J127" s="24">
        <v>6.9816643159379357</v>
      </c>
      <c r="K127" s="5">
        <v>8285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35">
      <c r="A128" s="33">
        <f t="shared" si="1"/>
        <v>37803</v>
      </c>
      <c r="B128" s="5"/>
      <c r="C128" s="5">
        <v>901389</v>
      </c>
      <c r="D128" s="5">
        <v>33308</v>
      </c>
      <c r="E128" s="5">
        <v>2599.8539999999998</v>
      </c>
      <c r="F128" s="5">
        <v>5271.0354150000003</v>
      </c>
      <c r="G128" s="5">
        <v>238.7</v>
      </c>
      <c r="H128" s="5">
        <v>325.89999999999998</v>
      </c>
      <c r="I128" s="5">
        <v>2044.6</v>
      </c>
      <c r="J128" s="24">
        <v>6.2725090036014715</v>
      </c>
      <c r="K128" s="5">
        <v>8505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35">
      <c r="A129" s="33">
        <f t="shared" si="1"/>
        <v>37834</v>
      </c>
      <c r="B129" s="5"/>
      <c r="C129" s="5">
        <v>905499</v>
      </c>
      <c r="D129" s="5">
        <v>30053</v>
      </c>
      <c r="E129" s="5">
        <v>2530.58</v>
      </c>
      <c r="F129" s="5">
        <v>5023.686987</v>
      </c>
      <c r="G129" s="5">
        <v>198.9</v>
      </c>
      <c r="H129" s="5">
        <v>376.1</v>
      </c>
      <c r="I129" s="5">
        <v>2121.1999999999998</v>
      </c>
      <c r="J129" s="24">
        <v>6.5091706539074989</v>
      </c>
      <c r="K129" s="5">
        <v>8535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35">
      <c r="A130" s="33">
        <f t="shared" si="1"/>
        <v>37865</v>
      </c>
      <c r="B130" s="5"/>
      <c r="C130" s="5">
        <v>911223</v>
      </c>
      <c r="D130" s="5">
        <v>34393</v>
      </c>
      <c r="E130" s="5">
        <v>2619.8029999999999</v>
      </c>
      <c r="F130" s="5">
        <v>5056.8441050000001</v>
      </c>
      <c r="G130" s="5">
        <v>224.3</v>
      </c>
      <c r="H130" s="5">
        <v>389</v>
      </c>
      <c r="I130" s="5">
        <v>2127</v>
      </c>
      <c r="J130" s="24">
        <v>6.3342585249801839</v>
      </c>
      <c r="K130" s="5">
        <v>8389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35">
      <c r="A131" s="33">
        <f t="shared" si="1"/>
        <v>37895</v>
      </c>
      <c r="B131" s="5"/>
      <c r="C131" s="5">
        <v>926324</v>
      </c>
      <c r="D131" s="5">
        <v>36004</v>
      </c>
      <c r="E131" s="5">
        <v>2813.4349999999999</v>
      </c>
      <c r="F131" s="5">
        <v>5056.9774450000004</v>
      </c>
      <c r="G131" s="5">
        <v>228.5</v>
      </c>
      <c r="H131" s="5">
        <v>441.9</v>
      </c>
      <c r="I131" s="5">
        <v>2131.1999999999998</v>
      </c>
      <c r="J131" s="24">
        <v>6.4818468823993651</v>
      </c>
      <c r="K131" s="5">
        <v>8495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35">
      <c r="A132" s="33">
        <f t="shared" ref="A132:A195" si="2">DATE(YEAR(A131),MONTH(A131)+1,1)</f>
        <v>37926</v>
      </c>
      <c r="B132" s="5"/>
      <c r="C132" s="5">
        <v>944647</v>
      </c>
      <c r="D132" s="5">
        <v>21684</v>
      </c>
      <c r="E132" s="5">
        <v>1965.7239999999999</v>
      </c>
      <c r="F132" s="5">
        <v>4961.120073</v>
      </c>
      <c r="G132" s="5">
        <v>275.60000000000002</v>
      </c>
      <c r="H132" s="5">
        <v>365.8</v>
      </c>
      <c r="I132" s="5">
        <v>2156.8000000000002</v>
      </c>
      <c r="J132" s="24">
        <v>5.5318736678938043</v>
      </c>
      <c r="K132" s="5">
        <v>8537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35">
      <c r="A133" s="33">
        <f t="shared" si="2"/>
        <v>37956</v>
      </c>
      <c r="B133" s="5"/>
      <c r="C133" s="5">
        <v>955692</v>
      </c>
      <c r="D133" s="5">
        <v>28114</v>
      </c>
      <c r="E133" s="5">
        <v>2318.4670000000001</v>
      </c>
      <c r="F133" s="5">
        <v>5235.4689429999999</v>
      </c>
      <c r="G133" s="5">
        <v>302.7</v>
      </c>
      <c r="H133" s="5">
        <v>413.1</v>
      </c>
      <c r="I133" s="5">
        <v>2169.5</v>
      </c>
      <c r="J133" s="24">
        <v>5.1608579088472082</v>
      </c>
      <c r="K133" s="5">
        <v>8465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35">
      <c r="A134" s="33">
        <f t="shared" si="2"/>
        <v>37987</v>
      </c>
      <c r="B134" s="5"/>
      <c r="C134" s="5">
        <v>939143</v>
      </c>
      <c r="D134" s="5">
        <v>30364</v>
      </c>
      <c r="E134" s="5">
        <v>2343.3290000000002</v>
      </c>
      <c r="F134" s="5">
        <v>5043.104875</v>
      </c>
      <c r="G134" s="5">
        <v>285.32</v>
      </c>
      <c r="H134" s="5">
        <v>477.64</v>
      </c>
      <c r="I134" s="5">
        <v>2579.94</v>
      </c>
      <c r="J134" s="24">
        <v>4.8211065768245192</v>
      </c>
      <c r="K134" s="5">
        <v>8441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35">
      <c r="A135" s="33">
        <f t="shared" si="2"/>
        <v>38018</v>
      </c>
      <c r="B135" s="5"/>
      <c r="C135" s="5">
        <v>927053</v>
      </c>
      <c r="D135" s="5">
        <v>33975</v>
      </c>
      <c r="E135" s="5">
        <v>2039.4090000000001</v>
      </c>
      <c r="F135" s="5">
        <v>4907.6575009999997</v>
      </c>
      <c r="G135" s="5">
        <v>292.41000000000003</v>
      </c>
      <c r="H135" s="5">
        <v>385.97</v>
      </c>
      <c r="I135" s="5">
        <v>2711.03</v>
      </c>
      <c r="J135" s="24">
        <v>4.6035805626598405</v>
      </c>
      <c r="K135" s="5">
        <v>8447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35">
      <c r="A136" s="33">
        <f t="shared" si="2"/>
        <v>38047</v>
      </c>
      <c r="B136" s="5"/>
      <c r="C136" s="5">
        <v>927302</v>
      </c>
      <c r="D136" s="5">
        <v>39288</v>
      </c>
      <c r="E136" s="5">
        <v>2270.0650000000001</v>
      </c>
      <c r="F136" s="5">
        <v>5086.8793939999996</v>
      </c>
      <c r="G136" s="5">
        <v>300.68</v>
      </c>
      <c r="H136" s="5">
        <v>381.28</v>
      </c>
      <c r="I136" s="5">
        <v>2787.76</v>
      </c>
      <c r="J136" s="24">
        <v>5.1119119878603767</v>
      </c>
      <c r="K136" s="5">
        <v>8587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35">
      <c r="A137" s="33">
        <f t="shared" si="2"/>
        <v>38078</v>
      </c>
      <c r="B137" s="5">
        <v>56.7</v>
      </c>
      <c r="C137" s="5">
        <v>928584</v>
      </c>
      <c r="D137" s="5">
        <v>39813</v>
      </c>
      <c r="E137" s="5">
        <v>2218.0949999999998</v>
      </c>
      <c r="F137" s="5">
        <v>5275.3754840000001</v>
      </c>
      <c r="G137" s="5">
        <v>290.13</v>
      </c>
      <c r="H137" s="5">
        <v>454.76</v>
      </c>
      <c r="I137" s="5">
        <v>2804.95</v>
      </c>
      <c r="J137" s="24">
        <v>5.9151996971417882</v>
      </c>
      <c r="K137" s="5">
        <v>8661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35">
      <c r="A138" s="33">
        <f t="shared" si="2"/>
        <v>38108</v>
      </c>
      <c r="B138" s="5">
        <v>56.4</v>
      </c>
      <c r="C138" s="5">
        <v>951848</v>
      </c>
      <c r="D138" s="5">
        <v>39924</v>
      </c>
      <c r="E138" s="5">
        <v>2373.2710000000002</v>
      </c>
      <c r="F138" s="5">
        <v>5590.6982440000002</v>
      </c>
      <c r="G138" s="5">
        <v>288.23</v>
      </c>
      <c r="H138" s="5">
        <v>419.85</v>
      </c>
      <c r="I138" s="5">
        <v>2721.02</v>
      </c>
      <c r="J138" s="24">
        <v>6.4692568841946301</v>
      </c>
      <c r="K138" s="5">
        <v>9210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35">
      <c r="A139" s="33">
        <f t="shared" si="2"/>
        <v>38139</v>
      </c>
      <c r="B139" s="5">
        <v>53.4</v>
      </c>
      <c r="C139" s="5">
        <v>973397</v>
      </c>
      <c r="D139" s="5">
        <v>42769</v>
      </c>
      <c r="E139" s="5">
        <v>2590.1190000000001</v>
      </c>
      <c r="F139" s="5">
        <v>5930.9640479999998</v>
      </c>
      <c r="G139" s="5">
        <v>319.95999999999998</v>
      </c>
      <c r="H139" s="5">
        <v>564.95000000000005</v>
      </c>
      <c r="I139" s="5">
        <v>2897.01</v>
      </c>
      <c r="J139" s="24">
        <v>6.8273848761653833</v>
      </c>
      <c r="K139" s="5">
        <v>9415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35">
      <c r="A140" s="33">
        <f t="shared" si="2"/>
        <v>38169</v>
      </c>
      <c r="B140" s="5">
        <v>53.1</v>
      </c>
      <c r="C140" s="5">
        <v>974096</v>
      </c>
      <c r="D140" s="5">
        <v>38481</v>
      </c>
      <c r="E140" s="5">
        <v>2647.8809999999999</v>
      </c>
      <c r="F140" s="5">
        <v>5968.1539780000003</v>
      </c>
      <c r="G140" s="5">
        <v>300.5</v>
      </c>
      <c r="H140" s="5">
        <v>657.2</v>
      </c>
      <c r="I140" s="5">
        <v>3233</v>
      </c>
      <c r="J140" s="24">
        <v>7.2013555492798513</v>
      </c>
      <c r="K140" s="5">
        <v>9168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35">
      <c r="A141" s="33">
        <f t="shared" si="2"/>
        <v>38200</v>
      </c>
      <c r="B141" s="5">
        <v>52.3</v>
      </c>
      <c r="C141" s="5">
        <v>982669</v>
      </c>
      <c r="D141" s="5">
        <v>38680</v>
      </c>
      <c r="E141" s="5">
        <v>2875.55</v>
      </c>
      <c r="F141" s="5">
        <v>6391.0290370000002</v>
      </c>
      <c r="G141" s="5">
        <v>347.77</v>
      </c>
      <c r="H141" s="5">
        <v>605.23</v>
      </c>
      <c r="I141" s="5">
        <v>3147.84</v>
      </c>
      <c r="J141" s="24">
        <v>6.6729059429106217</v>
      </c>
      <c r="K141" s="5">
        <v>9328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35">
      <c r="A142" s="33">
        <f t="shared" si="2"/>
        <v>38231</v>
      </c>
      <c r="B142" s="5">
        <v>52.5</v>
      </c>
      <c r="C142" s="5">
        <v>988174</v>
      </c>
      <c r="D142" s="5">
        <v>45355</v>
      </c>
      <c r="E142" s="5">
        <v>2921.7489999999998</v>
      </c>
      <c r="F142" s="5">
        <v>7240.0303970000004</v>
      </c>
      <c r="G142" s="5">
        <v>343.96</v>
      </c>
      <c r="H142" s="5">
        <v>600.6</v>
      </c>
      <c r="I142" s="5">
        <v>3300.91</v>
      </c>
      <c r="J142" s="24">
        <v>6.2738883191945654</v>
      </c>
      <c r="K142" s="5">
        <v>9170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35">
      <c r="A143" s="33">
        <f t="shared" si="2"/>
        <v>38261</v>
      </c>
      <c r="B143" s="5">
        <v>51.5</v>
      </c>
      <c r="C143" s="5">
        <v>998166</v>
      </c>
      <c r="D143" s="5">
        <v>50815</v>
      </c>
      <c r="E143" s="5">
        <v>2966.7860000000001</v>
      </c>
      <c r="F143" s="5">
        <v>7404.5938999999998</v>
      </c>
      <c r="G143" s="5">
        <v>337.58</v>
      </c>
      <c r="H143" s="5">
        <v>626.5</v>
      </c>
      <c r="I143" s="5">
        <v>3192.42</v>
      </c>
      <c r="J143" s="24">
        <v>6.2169924951357478</v>
      </c>
      <c r="K143" s="5">
        <v>9090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35">
      <c r="A144" s="33">
        <f t="shared" si="2"/>
        <v>38292</v>
      </c>
      <c r="B144" s="5">
        <v>51.5</v>
      </c>
      <c r="C144" s="5">
        <v>1001587</v>
      </c>
      <c r="D144" s="5">
        <v>35157</v>
      </c>
      <c r="E144" s="5">
        <v>1998.412</v>
      </c>
      <c r="F144" s="5">
        <v>6119.8182889999998</v>
      </c>
      <c r="G144" s="5">
        <v>298</v>
      </c>
      <c r="H144" s="5">
        <v>569.91</v>
      </c>
      <c r="I144" s="5">
        <v>3027.38</v>
      </c>
      <c r="J144" s="24">
        <v>6.1782796291196069</v>
      </c>
      <c r="K144" s="5">
        <v>9018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35">
      <c r="A145" s="33">
        <f t="shared" si="2"/>
        <v>38322</v>
      </c>
      <c r="B145" s="5">
        <v>50.8</v>
      </c>
      <c r="C145" s="5">
        <v>1033877</v>
      </c>
      <c r="D145" s="5">
        <v>48674</v>
      </c>
      <c r="E145" s="5">
        <v>2800.1480000000001</v>
      </c>
      <c r="F145" s="5">
        <v>6626.3035890000001</v>
      </c>
      <c r="G145" s="5">
        <v>381.98</v>
      </c>
      <c r="H145" s="5">
        <v>789.87</v>
      </c>
      <c r="I145" s="5">
        <v>3800.98</v>
      </c>
      <c r="J145" s="24">
        <v>6.4008012382773538</v>
      </c>
      <c r="K145" s="5">
        <v>9290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35">
      <c r="A146" s="33">
        <f t="shared" si="2"/>
        <v>38353</v>
      </c>
      <c r="B146" s="5">
        <v>52.2</v>
      </c>
      <c r="C146" s="5">
        <v>1017491</v>
      </c>
      <c r="D146" s="5">
        <v>45480</v>
      </c>
      <c r="E146" s="5">
        <v>2244.8969999999999</v>
      </c>
      <c r="F146" s="5">
        <v>6132.2812729999996</v>
      </c>
      <c r="G146" s="5">
        <v>335.86</v>
      </c>
      <c r="H146" s="5">
        <v>602.64</v>
      </c>
      <c r="I146" s="5">
        <v>3182.9</v>
      </c>
      <c r="J146" s="24">
        <v>7.3155273879583467</v>
      </c>
      <c r="K146" s="5">
        <v>9165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35">
      <c r="A147" s="33">
        <f t="shared" si="2"/>
        <v>38384</v>
      </c>
      <c r="B147" s="5">
        <v>53</v>
      </c>
      <c r="C147" s="5">
        <v>1014376</v>
      </c>
      <c r="D147" s="5">
        <v>45718</v>
      </c>
      <c r="E147" s="5">
        <v>2318.3249999999998</v>
      </c>
      <c r="F147" s="5">
        <v>6381.5818220000001</v>
      </c>
      <c r="G147" s="5">
        <v>325.33999999999997</v>
      </c>
      <c r="H147" s="5">
        <v>668.15</v>
      </c>
      <c r="I147" s="5">
        <v>3288.14</v>
      </c>
      <c r="J147" s="24">
        <v>7.1538531196232951</v>
      </c>
      <c r="K147" s="5">
        <v>9260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35">
      <c r="A148" s="33">
        <f t="shared" si="2"/>
        <v>38412</v>
      </c>
      <c r="B148" s="5">
        <v>54.2</v>
      </c>
      <c r="C148" s="5">
        <v>1022703</v>
      </c>
      <c r="D148" s="5">
        <v>52765</v>
      </c>
      <c r="E148" s="5">
        <v>2645.1129999999998</v>
      </c>
      <c r="F148" s="5">
        <v>7364.7226449999998</v>
      </c>
      <c r="G148" s="5">
        <v>380.92</v>
      </c>
      <c r="H148" s="5">
        <v>592.85</v>
      </c>
      <c r="I148" s="5">
        <v>4203.3500000000004</v>
      </c>
      <c r="J148" s="24">
        <v>8.8062798881169382</v>
      </c>
      <c r="K148" s="5">
        <v>9480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35">
      <c r="A149" s="33">
        <f t="shared" si="2"/>
        <v>38443</v>
      </c>
      <c r="B149" s="5">
        <v>53.1</v>
      </c>
      <c r="C149" s="5">
        <v>1046656</v>
      </c>
      <c r="D149" s="5">
        <v>51250</v>
      </c>
      <c r="E149" s="5">
        <v>2370.8960000000002</v>
      </c>
      <c r="F149" s="5">
        <v>6790.6681589999998</v>
      </c>
      <c r="G149" s="5">
        <v>355</v>
      </c>
      <c r="H149" s="5">
        <v>711.06</v>
      </c>
      <c r="I149" s="5">
        <v>4046.41</v>
      </c>
      <c r="J149" s="24">
        <v>8.1225985166651746</v>
      </c>
      <c r="K149" s="5">
        <v>9570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35">
      <c r="A150" s="33">
        <f t="shared" si="2"/>
        <v>38473</v>
      </c>
      <c r="B150" s="5">
        <v>53.5</v>
      </c>
      <c r="C150" s="5">
        <v>1049516</v>
      </c>
      <c r="D150" s="5">
        <v>51208</v>
      </c>
      <c r="E150" s="5">
        <v>2704.7550000000001</v>
      </c>
      <c r="F150" s="5">
        <v>7185.2909460000001</v>
      </c>
      <c r="G150" s="5">
        <v>406.95</v>
      </c>
      <c r="H150" s="5">
        <v>764.44</v>
      </c>
      <c r="I150" s="5">
        <v>3778.65</v>
      </c>
      <c r="J150" s="24">
        <v>7.3959255978742329</v>
      </c>
      <c r="K150" s="5">
        <v>9495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35">
      <c r="A151" s="33">
        <f t="shared" si="2"/>
        <v>38504</v>
      </c>
      <c r="B151" s="5">
        <v>52.5</v>
      </c>
      <c r="C151" s="5">
        <v>1076526</v>
      </c>
      <c r="D151" s="5">
        <v>49358</v>
      </c>
      <c r="E151" s="5">
        <v>2762.9830000000002</v>
      </c>
      <c r="F151" s="5">
        <v>6894.0982839999997</v>
      </c>
      <c r="G151" s="5">
        <v>358.24</v>
      </c>
      <c r="H151" s="5">
        <v>707.11</v>
      </c>
      <c r="I151" s="5">
        <v>3755.31</v>
      </c>
      <c r="J151" s="24">
        <v>7.4224259520451294</v>
      </c>
      <c r="K151" s="5">
        <v>9713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35">
      <c r="A152" s="33">
        <f t="shared" si="2"/>
        <v>38534</v>
      </c>
      <c r="B152" s="5">
        <v>52.6</v>
      </c>
      <c r="C152" s="5">
        <v>1092206</v>
      </c>
      <c r="D152" s="5">
        <v>49387</v>
      </c>
      <c r="E152" s="5">
        <v>2792.71</v>
      </c>
      <c r="F152" s="5">
        <v>7153.9192999999996</v>
      </c>
      <c r="G152" s="5">
        <v>350.43</v>
      </c>
      <c r="H152" s="5">
        <v>751.68</v>
      </c>
      <c r="I152" s="5">
        <v>3883.4</v>
      </c>
      <c r="J152" s="24">
        <v>7.8415876361081898</v>
      </c>
      <c r="K152" s="5">
        <v>9819</v>
      </c>
      <c r="L152" s="5">
        <v>8.5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35">
      <c r="A153" s="33">
        <f t="shared" si="2"/>
        <v>38565</v>
      </c>
      <c r="B153" s="5">
        <v>52.3</v>
      </c>
      <c r="C153" s="5">
        <v>1119102</v>
      </c>
      <c r="D153" s="5">
        <v>50608</v>
      </c>
      <c r="E153" s="5">
        <v>3095.2089999999998</v>
      </c>
      <c r="F153" s="5">
        <v>7274.8252929999999</v>
      </c>
      <c r="G153" s="5">
        <v>438.9</v>
      </c>
      <c r="H153" s="5">
        <v>808.49</v>
      </c>
      <c r="I153" s="5">
        <v>4240.1899999999996</v>
      </c>
      <c r="J153" s="24">
        <v>8.3347955781715974</v>
      </c>
      <c r="K153" s="5">
        <v>10240</v>
      </c>
      <c r="L153" s="5">
        <v>8.75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35">
      <c r="A154" s="33">
        <f t="shared" si="2"/>
        <v>38596</v>
      </c>
      <c r="B154" s="5">
        <v>53.5</v>
      </c>
      <c r="C154" s="5">
        <v>1154053</v>
      </c>
      <c r="D154" s="5">
        <v>44044</v>
      </c>
      <c r="E154" s="5">
        <v>3044.6750000000002</v>
      </c>
      <c r="F154" s="5">
        <v>7521.9722899999997</v>
      </c>
      <c r="G154" s="5">
        <v>463.93</v>
      </c>
      <c r="H154" s="5">
        <v>664.53</v>
      </c>
      <c r="I154" s="5">
        <v>3792.27</v>
      </c>
      <c r="J154" s="24">
        <v>9.0614035087719316</v>
      </c>
      <c r="K154" s="5">
        <v>10310</v>
      </c>
      <c r="L154" s="5">
        <v>10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35">
      <c r="A155" s="33">
        <f t="shared" si="2"/>
        <v>38626</v>
      </c>
      <c r="B155" s="5">
        <v>52.3</v>
      </c>
      <c r="C155" s="5">
        <v>1168842</v>
      </c>
      <c r="D155" s="5">
        <v>35103</v>
      </c>
      <c r="E155" s="5">
        <v>2784.7849999999999</v>
      </c>
      <c r="F155" s="5">
        <v>7951.458987</v>
      </c>
      <c r="G155" s="5">
        <v>440.68</v>
      </c>
      <c r="H155" s="5">
        <v>616.73</v>
      </c>
      <c r="I155" s="5">
        <v>3806.08</v>
      </c>
      <c r="J155" s="24">
        <v>17.890788555478007</v>
      </c>
      <c r="K155" s="5">
        <v>10090</v>
      </c>
      <c r="L155" s="5">
        <v>11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35">
      <c r="A156" s="33">
        <f t="shared" si="2"/>
        <v>38657</v>
      </c>
      <c r="B156" s="5">
        <v>52.3</v>
      </c>
      <c r="C156" s="5">
        <v>1169085</v>
      </c>
      <c r="D156" s="5">
        <v>26119</v>
      </c>
      <c r="E156" s="5">
        <v>2062.7339999999999</v>
      </c>
      <c r="F156" s="5">
        <v>6885.5321020000001</v>
      </c>
      <c r="G156" s="5">
        <v>331.8</v>
      </c>
      <c r="H156" s="5">
        <v>596.23</v>
      </c>
      <c r="I156" s="5">
        <v>3162.68</v>
      </c>
      <c r="J156" s="24">
        <v>18.381462908524991</v>
      </c>
      <c r="K156" s="5">
        <v>10035</v>
      </c>
      <c r="L156" s="5">
        <v>12.25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35">
      <c r="A157" s="33">
        <f t="shared" si="2"/>
        <v>38687</v>
      </c>
      <c r="B157" s="5">
        <v>53.2</v>
      </c>
      <c r="C157" s="5">
        <v>1202762</v>
      </c>
      <c r="D157" s="5">
        <v>32870</v>
      </c>
      <c r="E157" s="5">
        <v>2644.3429999999998</v>
      </c>
      <c r="F157" s="5">
        <v>8123.6015049999996</v>
      </c>
      <c r="G157" s="5">
        <v>432.39</v>
      </c>
      <c r="H157" s="5">
        <v>804.48</v>
      </c>
      <c r="I157" s="5">
        <v>3652.64</v>
      </c>
      <c r="J157" s="24">
        <v>17.114495978093441</v>
      </c>
      <c r="K157" s="5">
        <v>9830</v>
      </c>
      <c r="L157" s="5">
        <v>12.75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35">
      <c r="A158" s="33">
        <f t="shared" si="2"/>
        <v>38718</v>
      </c>
      <c r="B158" s="5">
        <v>52</v>
      </c>
      <c r="C158" s="5">
        <v>1194939</v>
      </c>
      <c r="D158" s="5">
        <v>26622</v>
      </c>
      <c r="E158" s="5">
        <v>2243.1819999999998</v>
      </c>
      <c r="F158" s="5">
        <v>7558.5937320000003</v>
      </c>
      <c r="G158" s="5">
        <v>371.12</v>
      </c>
      <c r="H158" s="5">
        <v>789.96</v>
      </c>
      <c r="I158" s="5">
        <v>3227.9</v>
      </c>
      <c r="J158" s="24">
        <v>17.033662363958499</v>
      </c>
      <c r="K158" s="5">
        <v>9395</v>
      </c>
      <c r="L158" s="5">
        <v>12.75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1"/>
    </row>
    <row r="159" spans="1:49" x14ac:dyDescent="0.35">
      <c r="A159" s="33">
        <f t="shared" si="2"/>
        <v>38749</v>
      </c>
      <c r="B159" s="5">
        <v>53.2</v>
      </c>
      <c r="C159" s="5">
        <v>1197772</v>
      </c>
      <c r="D159" s="5">
        <v>25957</v>
      </c>
      <c r="E159" s="5">
        <v>2219.3119999999999</v>
      </c>
      <c r="F159" s="5">
        <v>7397.538689</v>
      </c>
      <c r="G159" s="5">
        <v>381.81</v>
      </c>
      <c r="H159" s="5">
        <v>645.86</v>
      </c>
      <c r="I159" s="5">
        <v>3500.25</v>
      </c>
      <c r="J159" s="24">
        <v>17.915997633736154</v>
      </c>
      <c r="K159" s="5">
        <v>9230</v>
      </c>
      <c r="L159" s="5">
        <v>12.75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1"/>
    </row>
    <row r="160" spans="1:49" x14ac:dyDescent="0.35">
      <c r="A160" s="33">
        <f t="shared" si="2"/>
        <v>38777</v>
      </c>
      <c r="B160" s="5">
        <v>51.9</v>
      </c>
      <c r="C160" s="5">
        <v>1198748</v>
      </c>
      <c r="D160" s="5">
        <v>26833</v>
      </c>
      <c r="E160" s="5">
        <v>2505.4059999999999</v>
      </c>
      <c r="F160" s="5">
        <v>7495.9140010000001</v>
      </c>
      <c r="G160" s="5">
        <v>377.61</v>
      </c>
      <c r="H160" s="5">
        <v>607.85</v>
      </c>
      <c r="I160" s="5">
        <v>3424.65</v>
      </c>
      <c r="J160" s="24">
        <v>15.73928186416784</v>
      </c>
      <c r="K160" s="5">
        <v>9075</v>
      </c>
      <c r="L160" s="5">
        <v>12.75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1"/>
    </row>
    <row r="161" spans="1:49" x14ac:dyDescent="0.35">
      <c r="A161" s="33">
        <f t="shared" si="2"/>
        <v>38808</v>
      </c>
      <c r="B161" s="5">
        <v>54.2</v>
      </c>
      <c r="C161" s="5">
        <v>1197122</v>
      </c>
      <c r="D161" s="5">
        <v>22577</v>
      </c>
      <c r="E161" s="5">
        <v>2364.2240000000002</v>
      </c>
      <c r="F161" s="5">
        <v>7641.3089490000002</v>
      </c>
      <c r="G161" s="5">
        <v>380.23</v>
      </c>
      <c r="H161" s="5">
        <v>791.81</v>
      </c>
      <c r="I161" s="5">
        <v>3607.63</v>
      </c>
      <c r="J161" s="24">
        <v>15.404958677685929</v>
      </c>
      <c r="K161" s="5">
        <v>8775</v>
      </c>
      <c r="L161" s="5">
        <v>12.75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1"/>
    </row>
    <row r="162" spans="1:49" x14ac:dyDescent="0.35">
      <c r="A162" s="33">
        <f t="shared" si="2"/>
        <v>38838</v>
      </c>
      <c r="B162" s="5">
        <v>53.5</v>
      </c>
      <c r="C162" s="5">
        <v>1241865</v>
      </c>
      <c r="D162" s="5">
        <v>23079</v>
      </c>
      <c r="E162" s="5">
        <v>2587.3710000000001</v>
      </c>
      <c r="F162" s="5">
        <v>8369.6634859999995</v>
      </c>
      <c r="G162" s="5">
        <v>340.21</v>
      </c>
      <c r="H162" s="5">
        <v>760.79</v>
      </c>
      <c r="I162" s="5">
        <v>3996.22</v>
      </c>
      <c r="J162" s="24">
        <v>15.595876288659802</v>
      </c>
      <c r="K162" s="5">
        <v>9220</v>
      </c>
      <c r="L162" s="5">
        <v>12.5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1"/>
    </row>
    <row r="163" spans="1:49" x14ac:dyDescent="0.35">
      <c r="A163" s="33">
        <f t="shared" si="2"/>
        <v>38869</v>
      </c>
      <c r="B163" s="5">
        <v>53.6</v>
      </c>
      <c r="C163" s="5">
        <v>1257785</v>
      </c>
      <c r="D163" s="5">
        <v>24566</v>
      </c>
      <c r="E163" s="5">
        <v>2631.8739999999998</v>
      </c>
      <c r="F163" s="5">
        <v>8454.1305549999997</v>
      </c>
      <c r="G163" s="5">
        <v>396.01</v>
      </c>
      <c r="H163" s="5">
        <v>768.68</v>
      </c>
      <c r="I163" s="5">
        <v>4560.21</v>
      </c>
      <c r="J163" s="24">
        <v>15.534219596257989</v>
      </c>
      <c r="K163" s="5">
        <v>9300</v>
      </c>
      <c r="L163" s="5">
        <v>12.5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1"/>
    </row>
    <row r="164" spans="1:49" x14ac:dyDescent="0.35">
      <c r="A164" s="33">
        <f t="shared" si="2"/>
        <v>38899</v>
      </c>
      <c r="B164" s="5">
        <v>53</v>
      </c>
      <c r="C164" s="5">
        <v>1252816</v>
      </c>
      <c r="D164" s="5">
        <v>21891</v>
      </c>
      <c r="E164" s="5">
        <v>2791.415</v>
      </c>
      <c r="F164" s="5">
        <v>8880.8275219999996</v>
      </c>
      <c r="G164" s="5">
        <v>405.32</v>
      </c>
      <c r="H164" s="5">
        <v>663.12</v>
      </c>
      <c r="I164" s="5">
        <v>4356.58</v>
      </c>
      <c r="J164" s="24">
        <v>15.153489129549694</v>
      </c>
      <c r="K164" s="5">
        <v>9070</v>
      </c>
      <c r="L164" s="5">
        <v>12.25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1"/>
    </row>
    <row r="165" spans="1:49" x14ac:dyDescent="0.35">
      <c r="A165" s="33">
        <f t="shared" si="2"/>
        <v>38930</v>
      </c>
      <c r="B165" s="5">
        <v>53.1</v>
      </c>
      <c r="C165" s="5">
        <v>1274084</v>
      </c>
      <c r="D165" s="5">
        <v>28066</v>
      </c>
      <c r="E165" s="5">
        <v>3062.498</v>
      </c>
      <c r="F165" s="5">
        <v>8911.2376920000006</v>
      </c>
      <c r="G165" s="5">
        <v>432.09</v>
      </c>
      <c r="H165" s="5">
        <v>1014.45</v>
      </c>
      <c r="I165" s="5">
        <v>4257.58</v>
      </c>
      <c r="J165" s="24">
        <v>14.901198574667962</v>
      </c>
      <c r="K165" s="5">
        <v>9100</v>
      </c>
      <c r="L165" s="5">
        <v>11.75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1"/>
    </row>
    <row r="166" spans="1:49" x14ac:dyDescent="0.35">
      <c r="A166" s="33">
        <f t="shared" si="2"/>
        <v>38961</v>
      </c>
      <c r="B166" s="5">
        <v>53.8</v>
      </c>
      <c r="C166" s="5">
        <v>1294744</v>
      </c>
      <c r="D166" s="5">
        <v>34162</v>
      </c>
      <c r="E166" s="5">
        <v>3197.4569999999999</v>
      </c>
      <c r="F166" s="5">
        <v>8843.8749650000009</v>
      </c>
      <c r="G166" s="5">
        <v>489.03</v>
      </c>
      <c r="H166" s="5">
        <v>684.22</v>
      </c>
      <c r="I166" s="5">
        <v>4473.84</v>
      </c>
      <c r="J166" s="24">
        <v>14.549987935333364</v>
      </c>
      <c r="K166" s="5">
        <v>9235</v>
      </c>
      <c r="L166" s="5">
        <v>11.25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1"/>
    </row>
    <row r="167" spans="1:49" x14ac:dyDescent="0.35">
      <c r="A167" s="33">
        <f t="shared" si="2"/>
        <v>38991</v>
      </c>
      <c r="B167" s="5">
        <v>53.5</v>
      </c>
      <c r="C167" s="5">
        <v>1329425</v>
      </c>
      <c r="D167" s="5">
        <v>20752</v>
      </c>
      <c r="E167" s="5">
        <v>2250.538</v>
      </c>
      <c r="F167" s="5">
        <v>8717.138637</v>
      </c>
      <c r="G167" s="5">
        <v>344.6</v>
      </c>
      <c r="H167" s="5">
        <v>580.4</v>
      </c>
      <c r="I167" s="5">
        <v>3657.1</v>
      </c>
      <c r="J167" s="24">
        <v>6.2893081761006453</v>
      </c>
      <c r="K167" s="5">
        <v>9110</v>
      </c>
      <c r="L167" s="5">
        <v>10.75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1"/>
    </row>
    <row r="168" spans="1:49" x14ac:dyDescent="0.35">
      <c r="A168" s="33">
        <f t="shared" si="2"/>
        <v>39022</v>
      </c>
      <c r="B168" s="5">
        <v>53.6</v>
      </c>
      <c r="C168" s="5">
        <v>1341940</v>
      </c>
      <c r="D168" s="5">
        <v>33222</v>
      </c>
      <c r="E168" s="5">
        <v>3233.4160000000002</v>
      </c>
      <c r="F168" s="5">
        <v>8918.0950080000002</v>
      </c>
      <c r="G168" s="5">
        <v>445.7</v>
      </c>
      <c r="H168" s="5">
        <v>1041.4000000000001</v>
      </c>
      <c r="I168" s="5">
        <v>4322.8</v>
      </c>
      <c r="J168" s="24">
        <v>5.2731522056675306</v>
      </c>
      <c r="K168" s="5">
        <v>9165</v>
      </c>
      <c r="L168" s="5">
        <v>10.25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1"/>
    </row>
    <row r="169" spans="1:49" x14ac:dyDescent="0.35">
      <c r="A169" s="33">
        <f t="shared" si="2"/>
        <v>39052</v>
      </c>
      <c r="B169" s="5">
        <v>53.5</v>
      </c>
      <c r="C169" s="5">
        <v>1382493</v>
      </c>
      <c r="D169" s="5">
        <v>31177</v>
      </c>
      <c r="E169" s="5">
        <v>2969.5770000000002</v>
      </c>
      <c r="F169" s="5">
        <v>9610.3010439999998</v>
      </c>
      <c r="G169" s="5">
        <v>374.6</v>
      </c>
      <c r="H169" s="5">
        <v>807.3</v>
      </c>
      <c r="I169" s="5">
        <v>3786.6</v>
      </c>
      <c r="J169" s="24">
        <v>6.5979833406400292</v>
      </c>
      <c r="K169" s="5">
        <v>9020</v>
      </c>
      <c r="L169" s="5">
        <v>9.75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1"/>
    </row>
    <row r="170" spans="1:49" x14ac:dyDescent="0.35">
      <c r="A170" s="33">
        <f t="shared" si="2"/>
        <v>39083</v>
      </c>
      <c r="B170" s="5">
        <v>52.7</v>
      </c>
      <c r="C170" s="5">
        <v>1367957</v>
      </c>
      <c r="D170" s="5">
        <v>26830</v>
      </c>
      <c r="E170" s="5">
        <v>2634.942</v>
      </c>
      <c r="F170" s="5">
        <v>8322.4235160000007</v>
      </c>
      <c r="G170" s="5">
        <v>434.9</v>
      </c>
      <c r="H170" s="5">
        <v>702.2</v>
      </c>
      <c r="I170" s="5">
        <v>4146.3999999999996</v>
      </c>
      <c r="J170" s="24">
        <v>6.2644175317185908</v>
      </c>
      <c r="K170" s="5">
        <v>9090</v>
      </c>
      <c r="L170" s="5">
        <v>9.5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1"/>
    </row>
    <row r="171" spans="1:49" x14ac:dyDescent="0.35">
      <c r="A171" s="33">
        <f t="shared" si="2"/>
        <v>39114</v>
      </c>
      <c r="B171" s="5">
        <v>52.7</v>
      </c>
      <c r="C171" s="5">
        <v>1369243</v>
      </c>
      <c r="D171" s="5">
        <v>23650</v>
      </c>
      <c r="E171" s="5">
        <v>2290.998</v>
      </c>
      <c r="F171" s="5">
        <v>8194.5804250000001</v>
      </c>
      <c r="G171" s="5">
        <v>458.4</v>
      </c>
      <c r="H171" s="5">
        <v>721.8</v>
      </c>
      <c r="I171" s="5">
        <v>3482.9</v>
      </c>
      <c r="J171" s="24">
        <v>6.0991080681446226</v>
      </c>
      <c r="K171" s="5">
        <v>9160</v>
      </c>
      <c r="L171" s="5">
        <v>9.25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1"/>
    </row>
    <row r="172" spans="1:49" x14ac:dyDescent="0.35">
      <c r="A172" s="33">
        <f t="shared" si="2"/>
        <v>39142</v>
      </c>
      <c r="B172" s="5">
        <v>52.2</v>
      </c>
      <c r="C172" s="5">
        <v>1379237</v>
      </c>
      <c r="D172" s="5">
        <v>33857</v>
      </c>
      <c r="E172" s="5">
        <v>2593.0250000000001</v>
      </c>
      <c r="F172" s="5">
        <v>9064.849483</v>
      </c>
      <c r="G172" s="5">
        <v>625.70000000000005</v>
      </c>
      <c r="H172" s="5">
        <v>738.6</v>
      </c>
      <c r="I172" s="5">
        <v>4282.3</v>
      </c>
      <c r="J172" s="24">
        <v>6.2621782080494137</v>
      </c>
      <c r="K172" s="5">
        <v>9118</v>
      </c>
      <c r="L172" s="5">
        <v>9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1"/>
    </row>
    <row r="173" spans="1:49" x14ac:dyDescent="0.35">
      <c r="A173" s="33">
        <f t="shared" si="2"/>
        <v>39173</v>
      </c>
      <c r="B173" s="5">
        <v>53.2</v>
      </c>
      <c r="C173" s="5">
        <v>1385715</v>
      </c>
      <c r="D173" s="5">
        <v>35212</v>
      </c>
      <c r="E173" s="5">
        <v>2400.1909999999998</v>
      </c>
      <c r="F173" s="5">
        <v>8913.1153460000005</v>
      </c>
      <c r="G173" s="5">
        <v>533</v>
      </c>
      <c r="H173" s="5">
        <v>816.7</v>
      </c>
      <c r="I173" s="5">
        <v>4293.8999999999996</v>
      </c>
      <c r="J173" s="24">
        <v>6.1874234131639207</v>
      </c>
      <c r="K173" s="5">
        <v>9083</v>
      </c>
      <c r="L173" s="5">
        <v>9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1"/>
    </row>
    <row r="174" spans="1:49" x14ac:dyDescent="0.35">
      <c r="A174" s="33">
        <f t="shared" si="2"/>
        <v>39203</v>
      </c>
      <c r="B174" s="5">
        <v>53.2</v>
      </c>
      <c r="C174" s="5">
        <v>1396069</v>
      </c>
      <c r="D174" s="5">
        <v>38343</v>
      </c>
      <c r="E174" s="5">
        <v>2910.1979999999999</v>
      </c>
      <c r="F174" s="5">
        <v>9807.7558160000008</v>
      </c>
      <c r="G174" s="5">
        <v>633.6</v>
      </c>
      <c r="H174" s="5">
        <v>896.7</v>
      </c>
      <c r="I174" s="5">
        <v>4925.1000000000004</v>
      </c>
      <c r="J174" s="24">
        <v>5.9112018005998381</v>
      </c>
      <c r="K174" s="5">
        <v>8828</v>
      </c>
      <c r="L174" s="5">
        <v>8.75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1"/>
    </row>
    <row r="175" spans="1:49" x14ac:dyDescent="0.35">
      <c r="A175" s="33">
        <f t="shared" si="2"/>
        <v>39234</v>
      </c>
      <c r="B175" s="5">
        <v>54.6</v>
      </c>
      <c r="C175" s="5">
        <v>1454577</v>
      </c>
      <c r="D175" s="5">
        <v>39424</v>
      </c>
      <c r="E175" s="5">
        <v>2767.8220000000001</v>
      </c>
      <c r="F175" s="5">
        <v>9557.1785170000003</v>
      </c>
      <c r="G175" s="5">
        <v>549</v>
      </c>
      <c r="H175" s="5">
        <v>882.3</v>
      </c>
      <c r="I175" s="5">
        <v>4583.5</v>
      </c>
      <c r="J175" s="24">
        <v>5.6397323081393456</v>
      </c>
      <c r="K175" s="5">
        <v>9054</v>
      </c>
      <c r="L175" s="5">
        <v>8.5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1"/>
    </row>
    <row r="176" spans="1:49" x14ac:dyDescent="0.35">
      <c r="A176" s="33">
        <f t="shared" si="2"/>
        <v>39264</v>
      </c>
      <c r="B176" s="5">
        <v>53.6</v>
      </c>
      <c r="C176" s="5">
        <v>1474769</v>
      </c>
      <c r="D176" s="5">
        <v>38386</v>
      </c>
      <c r="E176" s="5">
        <v>3083.6460000000002</v>
      </c>
      <c r="F176" s="5">
        <v>10039.761436000001</v>
      </c>
      <c r="G176" s="5">
        <v>513.6</v>
      </c>
      <c r="H176" s="5">
        <v>1055.7</v>
      </c>
      <c r="I176" s="5">
        <v>4791.3</v>
      </c>
      <c r="J176" s="24">
        <v>5.7843990742267151</v>
      </c>
      <c r="K176" s="5">
        <v>9186</v>
      </c>
      <c r="L176" s="5">
        <v>8.25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1"/>
    </row>
    <row r="177" spans="1:49" x14ac:dyDescent="0.35">
      <c r="A177" s="33">
        <f t="shared" si="2"/>
        <v>39295</v>
      </c>
      <c r="B177" s="5">
        <v>54.4</v>
      </c>
      <c r="C177" s="5">
        <v>1493050</v>
      </c>
      <c r="D177" s="5">
        <v>41470</v>
      </c>
      <c r="E177" s="5">
        <v>3414.6819999999998</v>
      </c>
      <c r="F177" s="5">
        <v>9595.5683580000004</v>
      </c>
      <c r="G177" s="5">
        <v>597.6</v>
      </c>
      <c r="H177" s="5">
        <v>1063.4000000000001</v>
      </c>
      <c r="I177" s="5">
        <v>5255.8</v>
      </c>
      <c r="J177" s="24">
        <v>6.0335573400627469</v>
      </c>
      <c r="K177" s="5">
        <v>9410</v>
      </c>
      <c r="L177" s="5">
        <v>8.25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1"/>
    </row>
    <row r="178" spans="1:49" x14ac:dyDescent="0.35">
      <c r="A178" s="33">
        <f t="shared" si="2"/>
        <v>39326</v>
      </c>
      <c r="B178" s="5">
        <v>54.7</v>
      </c>
      <c r="C178" s="5">
        <v>1516884</v>
      </c>
      <c r="D178" s="5">
        <v>41036</v>
      </c>
      <c r="E178" s="5">
        <v>3111.0279999999998</v>
      </c>
      <c r="F178" s="5">
        <v>9515.6558829999994</v>
      </c>
      <c r="G178" s="5">
        <v>555.79999999999995</v>
      </c>
      <c r="H178" s="5">
        <v>1049.2</v>
      </c>
      <c r="I178" s="5">
        <v>5186.1000000000004</v>
      </c>
      <c r="J178" s="24">
        <v>6.3794099625293352</v>
      </c>
      <c r="K178" s="5">
        <v>9137</v>
      </c>
      <c r="L178" s="5">
        <v>8.25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1"/>
    </row>
    <row r="179" spans="1:49" x14ac:dyDescent="0.35">
      <c r="A179" s="33">
        <f t="shared" si="2"/>
        <v>39356</v>
      </c>
      <c r="B179" s="5">
        <v>55.4</v>
      </c>
      <c r="C179" s="5">
        <v>1533846</v>
      </c>
      <c r="D179" s="5">
        <v>31258</v>
      </c>
      <c r="E179" s="5">
        <v>2497.6970000000001</v>
      </c>
      <c r="F179" s="5">
        <v>10303.974686</v>
      </c>
      <c r="G179" s="5">
        <v>487.9</v>
      </c>
      <c r="H179" s="5">
        <v>1133.4000000000001</v>
      </c>
      <c r="I179" s="5">
        <v>4664.6000000000004</v>
      </c>
      <c r="J179" s="24">
        <v>6.2935722008474606</v>
      </c>
      <c r="K179" s="5">
        <v>9103</v>
      </c>
      <c r="L179" s="5">
        <v>8.25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1"/>
    </row>
    <row r="180" spans="1:49" x14ac:dyDescent="0.35">
      <c r="A180" s="33">
        <f t="shared" si="2"/>
        <v>39387</v>
      </c>
      <c r="B180" s="5">
        <v>54.2</v>
      </c>
      <c r="C180" s="5">
        <v>1559570</v>
      </c>
      <c r="D180" s="5">
        <v>45827</v>
      </c>
      <c r="E180" s="5">
        <v>3345.8490000000002</v>
      </c>
      <c r="F180" s="5">
        <v>9844.031825</v>
      </c>
      <c r="G180" s="5">
        <v>588.1</v>
      </c>
      <c r="H180" s="5">
        <v>1194.4000000000001</v>
      </c>
      <c r="I180" s="5">
        <v>5791.6</v>
      </c>
      <c r="J180" s="24">
        <v>6.1507972875388575</v>
      </c>
      <c r="K180" s="5">
        <v>9376</v>
      </c>
      <c r="L180" s="5">
        <v>8.25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1"/>
    </row>
    <row r="181" spans="1:49" x14ac:dyDescent="0.35">
      <c r="A181" s="33">
        <f t="shared" si="2"/>
        <v>39417</v>
      </c>
      <c r="B181" s="5">
        <v>54.7</v>
      </c>
      <c r="C181" s="5">
        <v>1649662</v>
      </c>
      <c r="D181" s="5">
        <v>39180</v>
      </c>
      <c r="E181" s="5">
        <v>3127.6489999999999</v>
      </c>
      <c r="F181" s="5">
        <v>10941.99546</v>
      </c>
      <c r="G181" s="5">
        <v>561.27372100000002</v>
      </c>
      <c r="H181" s="5">
        <v>1195.4383419999999</v>
      </c>
      <c r="I181" s="5">
        <v>5081.1331220000002</v>
      </c>
      <c r="J181" s="24">
        <v>5.4224875504279977</v>
      </c>
      <c r="K181" s="5">
        <v>9419</v>
      </c>
      <c r="L181" s="5">
        <v>8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1"/>
    </row>
    <row r="182" spans="1:49" x14ac:dyDescent="0.35">
      <c r="A182" s="33">
        <f t="shared" si="2"/>
        <v>39448</v>
      </c>
      <c r="B182" s="5">
        <v>53.6</v>
      </c>
      <c r="C182" s="5">
        <v>1596565</v>
      </c>
      <c r="D182" s="5">
        <v>41377</v>
      </c>
      <c r="E182" s="5">
        <v>3087.59</v>
      </c>
      <c r="F182" s="5">
        <v>11191.584172000001</v>
      </c>
      <c r="G182" s="5">
        <v>648.38157000000001</v>
      </c>
      <c r="H182" s="5">
        <v>1605.232352</v>
      </c>
      <c r="I182" s="5">
        <v>7354.4387909999996</v>
      </c>
      <c r="J182" s="24">
        <v>6.0655404030123883</v>
      </c>
      <c r="K182" s="5">
        <v>9291</v>
      </c>
      <c r="L182" s="5">
        <v>8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1"/>
    </row>
    <row r="183" spans="1:49" x14ac:dyDescent="0.35">
      <c r="A183" s="33">
        <f t="shared" si="2"/>
        <v>39479</v>
      </c>
      <c r="B183" s="5">
        <v>52.7</v>
      </c>
      <c r="C183" s="5">
        <v>1603750</v>
      </c>
      <c r="D183" s="5">
        <v>47510</v>
      </c>
      <c r="E183" s="5">
        <v>2700.7159999999999</v>
      </c>
      <c r="F183" s="5">
        <v>10545.539897000001</v>
      </c>
      <c r="G183" s="5">
        <v>663.87584000000004</v>
      </c>
      <c r="H183" s="5">
        <v>1446.3079379999999</v>
      </c>
      <c r="I183" s="5">
        <v>7732.6821140000002</v>
      </c>
      <c r="J183" s="24">
        <v>6.3944061613295311</v>
      </c>
      <c r="K183" s="5">
        <v>9051</v>
      </c>
      <c r="L183" s="5">
        <v>8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1"/>
    </row>
    <row r="184" spans="1:49" x14ac:dyDescent="0.35">
      <c r="A184" s="33">
        <f t="shared" si="2"/>
        <v>39508</v>
      </c>
      <c r="B184" s="5">
        <v>53.1</v>
      </c>
      <c r="C184" s="5">
        <v>1594390</v>
      </c>
      <c r="D184" s="5">
        <v>46716</v>
      </c>
      <c r="E184" s="5">
        <v>2992.4430000000002</v>
      </c>
      <c r="F184" s="5">
        <v>12008.883718999999</v>
      </c>
      <c r="G184" s="5">
        <v>676.784943</v>
      </c>
      <c r="H184" s="5">
        <v>1359.6399039999999</v>
      </c>
      <c r="I184" s="5">
        <v>8240.2277130000002</v>
      </c>
      <c r="J184" s="24">
        <v>7.1009508395711141</v>
      </c>
      <c r="K184" s="5">
        <v>9217</v>
      </c>
      <c r="L184" s="5">
        <v>8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1"/>
    </row>
    <row r="185" spans="1:49" x14ac:dyDescent="0.35">
      <c r="A185" s="33">
        <f t="shared" si="2"/>
        <v>39539</v>
      </c>
      <c r="B185" s="5">
        <v>53.1</v>
      </c>
      <c r="C185" s="5">
        <v>1611691</v>
      </c>
      <c r="D185" s="5">
        <v>51642</v>
      </c>
      <c r="E185" s="5">
        <v>3077.8119999999999</v>
      </c>
      <c r="F185" s="5">
        <v>10921.678332</v>
      </c>
      <c r="G185" s="5">
        <v>787.231089</v>
      </c>
      <c r="H185" s="5">
        <v>1743.0814190000001</v>
      </c>
      <c r="I185" s="5">
        <v>9116.3955110000006</v>
      </c>
      <c r="J185" s="24">
        <v>7.4059085390530246</v>
      </c>
      <c r="K185" s="5">
        <v>9234</v>
      </c>
      <c r="L185" s="5">
        <v>8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1"/>
    </row>
    <row r="186" spans="1:49" x14ac:dyDescent="0.35">
      <c r="A186" s="33">
        <f t="shared" si="2"/>
        <v>39569</v>
      </c>
      <c r="B186" s="5">
        <v>52.8</v>
      </c>
      <c r="C186" s="5">
        <v>1641733</v>
      </c>
      <c r="D186" s="5">
        <v>50718</v>
      </c>
      <c r="E186" s="5">
        <v>3568.489</v>
      </c>
      <c r="F186" s="5">
        <v>12910.251507999999</v>
      </c>
      <c r="G186" s="5">
        <v>760.795975</v>
      </c>
      <c r="H186" s="5">
        <v>1558.484471</v>
      </c>
      <c r="I186" s="5">
        <v>9344.8942530000004</v>
      </c>
      <c r="J186" s="24">
        <v>8.6205154118241456</v>
      </c>
      <c r="K186" s="5">
        <v>9318</v>
      </c>
      <c r="L186" s="5">
        <v>8.25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1"/>
    </row>
    <row r="187" spans="1:49" x14ac:dyDescent="0.35">
      <c r="A187" s="33">
        <f t="shared" si="2"/>
        <v>39600</v>
      </c>
      <c r="B187" s="5">
        <v>51.5</v>
      </c>
      <c r="C187" s="5">
        <v>1703381</v>
      </c>
      <c r="D187" s="5">
        <v>54707</v>
      </c>
      <c r="E187" s="5">
        <v>3465.0709999999999</v>
      </c>
      <c r="F187" s="5">
        <v>12818.440339999999</v>
      </c>
      <c r="G187" s="5">
        <v>796.46869800000002</v>
      </c>
      <c r="H187" s="5">
        <v>1561.106929</v>
      </c>
      <c r="I187" s="5">
        <v>9752.9812829999992</v>
      </c>
      <c r="J187" s="24">
        <v>11.03490014121444</v>
      </c>
      <c r="K187" s="5">
        <v>9225</v>
      </c>
      <c r="L187" s="5">
        <v>8.5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1"/>
    </row>
    <row r="188" spans="1:49" x14ac:dyDescent="0.35">
      <c r="A188" s="33">
        <f t="shared" si="2"/>
        <v>39630</v>
      </c>
      <c r="B188" s="5">
        <v>51.5</v>
      </c>
      <c r="C188" s="5">
        <v>1686050</v>
      </c>
      <c r="D188" s="5">
        <v>60830</v>
      </c>
      <c r="E188" s="5">
        <v>3414.3690000000001</v>
      </c>
      <c r="F188" s="5">
        <v>12527.861831</v>
      </c>
      <c r="G188" s="5">
        <v>816.32479000000001</v>
      </c>
      <c r="H188" s="5">
        <v>2133.573069</v>
      </c>
      <c r="I188" s="5">
        <v>9919.886735</v>
      </c>
      <c r="J188" s="24">
        <v>11.9033293221019</v>
      </c>
      <c r="K188" s="5">
        <v>9118</v>
      </c>
      <c r="L188" s="5">
        <v>8.75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1"/>
    </row>
    <row r="189" spans="1:49" x14ac:dyDescent="0.35">
      <c r="A189" s="33">
        <f t="shared" si="2"/>
        <v>39661</v>
      </c>
      <c r="B189" s="5">
        <v>49.3</v>
      </c>
      <c r="C189" s="5">
        <v>1682811</v>
      </c>
      <c r="D189" s="5">
        <v>58491</v>
      </c>
      <c r="E189" s="5">
        <v>3317.43</v>
      </c>
      <c r="F189" s="5">
        <v>12466.885808999999</v>
      </c>
      <c r="G189" s="5">
        <v>840.92265199999997</v>
      </c>
      <c r="H189" s="5">
        <v>2010.597739</v>
      </c>
      <c r="I189" s="5">
        <v>9474.7291970000006</v>
      </c>
      <c r="J189" s="24">
        <v>11.846828879138391</v>
      </c>
      <c r="K189" s="5">
        <v>9153</v>
      </c>
      <c r="L189" s="5">
        <v>9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1"/>
    </row>
    <row r="190" spans="1:49" x14ac:dyDescent="0.35">
      <c r="A190" s="33">
        <f t="shared" si="2"/>
        <v>39692</v>
      </c>
      <c r="B190" s="5">
        <v>47.6</v>
      </c>
      <c r="C190" s="5">
        <v>1778139</v>
      </c>
      <c r="D190" s="5">
        <v>55231</v>
      </c>
      <c r="E190" s="5">
        <v>2970.4659999999999</v>
      </c>
      <c r="F190" s="5">
        <v>12390.059888</v>
      </c>
      <c r="G190" s="5">
        <v>715.56837900000005</v>
      </c>
      <c r="H190" s="5">
        <v>1937.121007</v>
      </c>
      <c r="I190" s="5">
        <v>8690.1308769999996</v>
      </c>
      <c r="J190" s="24">
        <v>12.139815823348837</v>
      </c>
      <c r="K190" s="5">
        <v>9378</v>
      </c>
      <c r="L190" s="5">
        <v>9.25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1"/>
    </row>
    <row r="191" spans="1:49" x14ac:dyDescent="0.35">
      <c r="A191" s="33">
        <f t="shared" si="2"/>
        <v>39722</v>
      </c>
      <c r="B191" s="5">
        <v>44.9</v>
      </c>
      <c r="C191" s="5">
        <v>1812490</v>
      </c>
      <c r="D191" s="5">
        <v>54813</v>
      </c>
      <c r="E191" s="5">
        <v>3105.5030000000002</v>
      </c>
      <c r="F191" s="5">
        <v>10789.914257</v>
      </c>
      <c r="G191" s="5">
        <v>601.67231700000002</v>
      </c>
      <c r="H191" s="5">
        <v>1982.898023</v>
      </c>
      <c r="I191" s="5">
        <v>8147.8764440000004</v>
      </c>
      <c r="J191" s="24">
        <v>11.77048536058166</v>
      </c>
      <c r="K191" s="5">
        <v>10995</v>
      </c>
      <c r="L191" s="5">
        <v>9.5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1"/>
    </row>
    <row r="192" spans="1:49" x14ac:dyDescent="0.35">
      <c r="A192" s="33">
        <f t="shared" si="2"/>
        <v>39753</v>
      </c>
      <c r="B192" s="5">
        <v>40.700000000000003</v>
      </c>
      <c r="C192" s="5">
        <v>1851023</v>
      </c>
      <c r="D192" s="5">
        <v>46119</v>
      </c>
      <c r="E192" s="5">
        <v>3265.221</v>
      </c>
      <c r="F192" s="5">
        <v>9665.7081820000003</v>
      </c>
      <c r="G192" s="5">
        <v>549.57767999999999</v>
      </c>
      <c r="H192" s="5">
        <v>2065.9985029999998</v>
      </c>
      <c r="I192" s="5">
        <v>6465.8001219999996</v>
      </c>
      <c r="J192" s="24">
        <v>11.677615452495342</v>
      </c>
      <c r="K192" s="5">
        <v>12151</v>
      </c>
      <c r="L192" s="5">
        <v>9.5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1"/>
    </row>
    <row r="193" spans="1:49" x14ac:dyDescent="0.35">
      <c r="A193" s="33">
        <f t="shared" si="2"/>
        <v>39783</v>
      </c>
      <c r="B193" s="5">
        <v>39.700000000000003</v>
      </c>
      <c r="C193" s="5">
        <v>1895839</v>
      </c>
      <c r="D193" s="5">
        <v>39651</v>
      </c>
      <c r="E193" s="5">
        <v>3125.1729999999998</v>
      </c>
      <c r="F193" s="5">
        <v>8896.4983119999997</v>
      </c>
      <c r="G193" s="5">
        <v>446.10560900000002</v>
      </c>
      <c r="H193" s="5">
        <v>1996.838569</v>
      </c>
      <c r="I193" s="5">
        <v>5252.6737190000003</v>
      </c>
      <c r="J193" s="24">
        <v>11.061256340226288</v>
      </c>
      <c r="K193" s="5">
        <v>10950</v>
      </c>
      <c r="L193" s="5">
        <v>9.25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1"/>
    </row>
    <row r="194" spans="1:49" x14ac:dyDescent="0.35">
      <c r="A194" s="33">
        <f t="shared" si="2"/>
        <v>39814</v>
      </c>
      <c r="B194" s="5">
        <v>40.6</v>
      </c>
      <c r="C194" s="5">
        <v>1874145</v>
      </c>
      <c r="D194" s="5">
        <v>31624</v>
      </c>
      <c r="E194" s="5">
        <v>2968.8589999999999</v>
      </c>
      <c r="F194" s="5">
        <v>7280.1096459999999</v>
      </c>
      <c r="G194" s="5">
        <v>464.42591099999999</v>
      </c>
      <c r="H194" s="5">
        <v>1343.034932</v>
      </c>
      <c r="I194" s="5">
        <v>4793.1084060000003</v>
      </c>
      <c r="J194" s="24">
        <v>9.1729034734216128</v>
      </c>
      <c r="K194" s="5">
        <v>11330</v>
      </c>
      <c r="L194" s="5">
        <v>8.75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1"/>
    </row>
    <row r="195" spans="1:49" x14ac:dyDescent="0.35">
      <c r="A195" s="33">
        <f t="shared" si="2"/>
        <v>39845</v>
      </c>
      <c r="B195" s="5">
        <v>43.7</v>
      </c>
      <c r="C195" s="5">
        <v>1900208</v>
      </c>
      <c r="D195" s="5">
        <v>34506</v>
      </c>
      <c r="E195" s="5">
        <v>2636.672</v>
      </c>
      <c r="F195" s="5">
        <v>7134.3192730000001</v>
      </c>
      <c r="G195" s="5">
        <v>374.84674000000001</v>
      </c>
      <c r="H195" s="5">
        <v>1380.4884870000001</v>
      </c>
      <c r="I195" s="5">
        <v>4183.7080999999998</v>
      </c>
      <c r="J195" s="24">
        <v>8.5993949104027188</v>
      </c>
      <c r="K195" s="5">
        <v>11980</v>
      </c>
      <c r="L195" s="5">
        <v>8.25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1"/>
    </row>
    <row r="196" spans="1:49" x14ac:dyDescent="0.35">
      <c r="A196" s="33">
        <f t="shared" ref="A196:A259" si="3">DATE(YEAR(A195),MONTH(A195)+1,1)</f>
        <v>39873</v>
      </c>
      <c r="B196" s="5">
        <v>45</v>
      </c>
      <c r="C196" s="5">
        <v>1916752</v>
      </c>
      <c r="D196" s="5">
        <v>34127</v>
      </c>
      <c r="E196" s="5">
        <v>2667.4349999999999</v>
      </c>
      <c r="F196" s="5">
        <v>8614.7258710000006</v>
      </c>
      <c r="G196" s="5">
        <v>493.96607799999998</v>
      </c>
      <c r="H196" s="5">
        <v>1542.152016</v>
      </c>
      <c r="I196" s="5">
        <v>4518.0110690000001</v>
      </c>
      <c r="J196" s="24">
        <v>7.9243102520661148</v>
      </c>
      <c r="K196" s="5">
        <v>11575</v>
      </c>
      <c r="L196" s="5">
        <v>7.75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1"/>
    </row>
    <row r="197" spans="1:49" x14ac:dyDescent="0.35">
      <c r="A197" s="33">
        <f t="shared" si="3"/>
        <v>39904</v>
      </c>
      <c r="B197" s="5">
        <v>48.6</v>
      </c>
      <c r="C197" s="5">
        <v>1912623</v>
      </c>
      <c r="D197" s="5">
        <v>34604</v>
      </c>
      <c r="E197" s="5">
        <v>2850.306</v>
      </c>
      <c r="F197" s="5">
        <v>8453.9570569999996</v>
      </c>
      <c r="G197" s="5">
        <v>499.63036</v>
      </c>
      <c r="H197" s="5">
        <v>1345.940861</v>
      </c>
      <c r="I197" s="5">
        <v>4861.1907780000001</v>
      </c>
      <c r="J197" s="24">
        <v>7.3026588359456275</v>
      </c>
      <c r="K197" s="5">
        <v>10713</v>
      </c>
      <c r="L197" s="5">
        <v>7.5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1"/>
    </row>
    <row r="198" spans="1:49" x14ac:dyDescent="0.35">
      <c r="A198" s="33">
        <f t="shared" si="3"/>
        <v>39934</v>
      </c>
      <c r="B198" s="5">
        <v>50.2</v>
      </c>
      <c r="C198" s="5">
        <v>1927070</v>
      </c>
      <c r="D198" s="5">
        <v>35818</v>
      </c>
      <c r="E198" s="5">
        <v>3052.9169999999999</v>
      </c>
      <c r="F198" s="5">
        <v>9208.7740589999994</v>
      </c>
      <c r="G198" s="5">
        <v>505.547574</v>
      </c>
      <c r="H198" s="5">
        <v>1696.170613</v>
      </c>
      <c r="I198" s="5">
        <v>5439.5683650000001</v>
      </c>
      <c r="J198" s="24">
        <v>6.0218211819053495</v>
      </c>
      <c r="K198" s="5">
        <v>10340</v>
      </c>
      <c r="L198" s="5">
        <v>7.25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1"/>
    </row>
    <row r="199" spans="1:49" x14ac:dyDescent="0.35">
      <c r="A199" s="33">
        <f t="shared" si="3"/>
        <v>39965</v>
      </c>
      <c r="B199" s="5">
        <v>51</v>
      </c>
      <c r="C199" s="5">
        <v>1977533</v>
      </c>
      <c r="D199" s="5">
        <v>39567</v>
      </c>
      <c r="E199" s="5">
        <v>3395.7170000000001</v>
      </c>
      <c r="F199" s="5">
        <v>9381.4790709999997</v>
      </c>
      <c r="G199" s="5">
        <v>548.44935199999998</v>
      </c>
      <c r="H199" s="5">
        <v>1533.4005</v>
      </c>
      <c r="I199" s="5">
        <v>5853.6250259999997</v>
      </c>
      <c r="J199" s="24">
        <v>3.63804144853902</v>
      </c>
      <c r="K199" s="5">
        <v>10225</v>
      </c>
      <c r="L199" s="5">
        <v>7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1"/>
    </row>
    <row r="200" spans="1:49" x14ac:dyDescent="0.35">
      <c r="A200" s="33">
        <f t="shared" si="3"/>
        <v>39995</v>
      </c>
      <c r="B200" s="5">
        <v>52.1</v>
      </c>
      <c r="C200" s="5">
        <v>1960950</v>
      </c>
      <c r="D200" s="5">
        <v>41910</v>
      </c>
      <c r="E200" s="5">
        <v>3510.2818600000001</v>
      </c>
      <c r="F200" s="5">
        <v>9684.1458789999997</v>
      </c>
      <c r="G200" s="5">
        <v>738.03969099999995</v>
      </c>
      <c r="H200" s="5">
        <v>1794.2021589999999</v>
      </c>
      <c r="I200" s="5">
        <v>6151.1000819999999</v>
      </c>
      <c r="J200" s="24">
        <v>2.6987330813579731</v>
      </c>
      <c r="K200" s="5">
        <v>9920</v>
      </c>
      <c r="L200" s="5">
        <v>6.75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1"/>
    </row>
    <row r="201" spans="1:49" x14ac:dyDescent="0.35">
      <c r="A201" s="33">
        <f t="shared" si="3"/>
        <v>40026</v>
      </c>
      <c r="B201" s="5">
        <v>53.7</v>
      </c>
      <c r="C201" s="5">
        <v>1995294</v>
      </c>
      <c r="D201" s="5">
        <v>48099</v>
      </c>
      <c r="E201" s="5">
        <v>3565.1680000000001</v>
      </c>
      <c r="F201" s="5">
        <v>10543.777892</v>
      </c>
      <c r="G201" s="5">
        <v>638.50579400000004</v>
      </c>
      <c r="H201" s="5">
        <v>2637.054717</v>
      </c>
      <c r="I201" s="5">
        <v>6431.7421750000003</v>
      </c>
      <c r="J201" s="24">
        <v>2.7438737719676265</v>
      </c>
      <c r="K201" s="5">
        <v>10060</v>
      </c>
      <c r="L201" s="5">
        <v>6.5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1"/>
    </row>
    <row r="202" spans="1:49" x14ac:dyDescent="0.35">
      <c r="A202" s="33">
        <f t="shared" si="3"/>
        <v>40057</v>
      </c>
      <c r="B202" s="5">
        <v>54</v>
      </c>
      <c r="C202" s="5">
        <v>2018510.3</v>
      </c>
      <c r="D202" s="5">
        <v>37208</v>
      </c>
      <c r="E202" s="5">
        <v>2545.3490000000002</v>
      </c>
      <c r="F202" s="5">
        <v>9842.5716819999998</v>
      </c>
      <c r="G202" s="5">
        <v>557.20472900000004</v>
      </c>
      <c r="H202" s="5">
        <v>1451.1238599999999</v>
      </c>
      <c r="I202" s="5">
        <v>6508.2746870000001</v>
      </c>
      <c r="J202" s="24">
        <v>2.8196933040370245</v>
      </c>
      <c r="K202" s="5">
        <v>9681</v>
      </c>
      <c r="L202" s="5">
        <v>6.5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1"/>
    </row>
    <row r="203" spans="1:49" x14ac:dyDescent="0.35">
      <c r="A203" s="33">
        <f t="shared" si="3"/>
        <v>40087</v>
      </c>
      <c r="B203" s="5">
        <v>54.4</v>
      </c>
      <c r="C203" s="5">
        <v>2021517</v>
      </c>
      <c r="D203" s="5">
        <v>52226</v>
      </c>
      <c r="E203" s="5">
        <v>3793.5059999999999</v>
      </c>
      <c r="F203" s="5">
        <v>12242.672525</v>
      </c>
      <c r="G203" s="5">
        <v>639.18277399999999</v>
      </c>
      <c r="H203" s="5">
        <v>1642.5965289999999</v>
      </c>
      <c r="I203" s="5">
        <v>7148.3472449999999</v>
      </c>
      <c r="J203" s="24">
        <v>2.5567485242877392</v>
      </c>
      <c r="K203" s="5">
        <v>9545</v>
      </c>
      <c r="L203" s="5">
        <v>6.5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1"/>
    </row>
    <row r="204" spans="1:49" x14ac:dyDescent="0.35">
      <c r="A204" s="33">
        <f t="shared" si="3"/>
        <v>40118</v>
      </c>
      <c r="B204" s="5">
        <v>54.7</v>
      </c>
      <c r="C204" s="5">
        <v>2062206.27</v>
      </c>
      <c r="D204" s="5">
        <v>48424</v>
      </c>
      <c r="E204" s="5">
        <v>3542.1320000000001</v>
      </c>
      <c r="F204" s="5">
        <v>10775.361672000001</v>
      </c>
      <c r="G204" s="5">
        <v>639.12957700000004</v>
      </c>
      <c r="H204" s="5">
        <v>1681.544097</v>
      </c>
      <c r="I204" s="5">
        <v>6493.9837479999997</v>
      </c>
      <c r="J204" s="24">
        <v>2.3957913390323071</v>
      </c>
      <c r="K204" s="5">
        <v>9480</v>
      </c>
      <c r="L204" s="5">
        <v>6.5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1"/>
    </row>
    <row r="205" spans="1:49" x14ac:dyDescent="0.35">
      <c r="A205" s="33">
        <f t="shared" si="3"/>
        <v>40148</v>
      </c>
      <c r="B205" s="5">
        <v>55.2</v>
      </c>
      <c r="C205" s="5">
        <v>2141383.7000000002</v>
      </c>
      <c r="D205" s="5">
        <v>47948</v>
      </c>
      <c r="E205" s="5">
        <v>3825.165</v>
      </c>
      <c r="F205" s="5">
        <v>13348.131454</v>
      </c>
      <c r="G205" s="5">
        <v>653.71551899999997</v>
      </c>
      <c r="H205" s="5">
        <v>2390.7873100000002</v>
      </c>
      <c r="I205" s="5">
        <v>7255.4451200000003</v>
      </c>
      <c r="J205" s="24">
        <v>2.7692463849055731</v>
      </c>
      <c r="K205" s="5">
        <v>9400</v>
      </c>
      <c r="L205" s="5">
        <v>6.5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1"/>
    </row>
    <row r="206" spans="1:49" x14ac:dyDescent="0.35">
      <c r="A206" s="33">
        <f t="shared" si="3"/>
        <v>40179</v>
      </c>
      <c r="B206" s="5">
        <v>56.3</v>
      </c>
      <c r="C206" s="5">
        <v>2073859.77</v>
      </c>
      <c r="D206" s="5">
        <v>52831</v>
      </c>
      <c r="E206" s="5">
        <v>3362.3216699999998</v>
      </c>
      <c r="F206" s="5">
        <v>11595.867120000001</v>
      </c>
      <c r="G206" s="5">
        <v>625.40949899999998</v>
      </c>
      <c r="H206" s="5">
        <v>1817.482718</v>
      </c>
      <c r="I206" s="5">
        <v>7047.5667210000001</v>
      </c>
      <c r="J206" s="24">
        <v>3.714917899149877</v>
      </c>
      <c r="K206" s="5">
        <v>9365</v>
      </c>
      <c r="L206" s="5">
        <v>6.5</v>
      </c>
      <c r="M206" s="5"/>
      <c r="N206" s="5"/>
      <c r="O206" s="5"/>
      <c r="P206" s="1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1"/>
    </row>
    <row r="207" spans="1:49" x14ac:dyDescent="0.35">
      <c r="A207" s="33">
        <f t="shared" si="3"/>
        <v>40210</v>
      </c>
      <c r="B207" s="5">
        <v>55.8</v>
      </c>
      <c r="C207" s="5">
        <v>2066480.99</v>
      </c>
      <c r="D207" s="5">
        <v>55688</v>
      </c>
      <c r="E207" s="5">
        <v>2989.7620000000002</v>
      </c>
      <c r="F207" s="5">
        <v>11166.450435999999</v>
      </c>
      <c r="G207" s="5">
        <v>683.20876499999997</v>
      </c>
      <c r="H207" s="5">
        <v>1923.763862</v>
      </c>
      <c r="I207" s="5">
        <v>6891.1667799999996</v>
      </c>
      <c r="J207" s="24">
        <v>3.8001162115049283</v>
      </c>
      <c r="K207" s="5">
        <v>9335</v>
      </c>
      <c r="L207" s="5">
        <v>6.5</v>
      </c>
      <c r="M207" s="5"/>
      <c r="N207" s="5"/>
      <c r="O207" s="5"/>
      <c r="P207" s="1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1"/>
    </row>
    <row r="208" spans="1:49" x14ac:dyDescent="0.35">
      <c r="A208" s="33">
        <f t="shared" si="3"/>
        <v>40238</v>
      </c>
      <c r="B208" s="5">
        <v>56</v>
      </c>
      <c r="C208" s="5">
        <v>2112082.7000000002</v>
      </c>
      <c r="D208" s="5">
        <v>65555</v>
      </c>
      <c r="E208" s="5">
        <v>3386.3212199999998</v>
      </c>
      <c r="F208" s="5">
        <v>12774.365884000001</v>
      </c>
      <c r="G208" s="5">
        <v>868.765806</v>
      </c>
      <c r="H208" s="5">
        <v>2206.8685989999999</v>
      </c>
      <c r="I208" s="5">
        <v>7897.0069949999997</v>
      </c>
      <c r="J208" s="24">
        <v>3.4322820037105801</v>
      </c>
      <c r="K208" s="5">
        <v>9115</v>
      </c>
      <c r="L208" s="5">
        <v>6.5</v>
      </c>
      <c r="M208" s="5"/>
      <c r="N208" s="5"/>
      <c r="O208" s="5"/>
      <c r="P208" s="1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1"/>
    </row>
    <row r="209" spans="1:49" x14ac:dyDescent="0.35">
      <c r="A209" s="33">
        <f t="shared" si="3"/>
        <v>40269</v>
      </c>
      <c r="B209" s="5">
        <v>55.5</v>
      </c>
      <c r="C209" s="5">
        <v>2116023.54</v>
      </c>
      <c r="D209" s="5">
        <v>65232</v>
      </c>
      <c r="E209" s="5">
        <v>3188.8023400000002</v>
      </c>
      <c r="F209" s="5">
        <v>12035.247590999999</v>
      </c>
      <c r="G209" s="5">
        <v>894.19777599999998</v>
      </c>
      <c r="H209" s="5">
        <v>2279.2469930000002</v>
      </c>
      <c r="I209" s="5">
        <v>8062.3437000000004</v>
      </c>
      <c r="J209" s="24">
        <v>3.9083401186460391</v>
      </c>
      <c r="K209" s="5">
        <v>9012</v>
      </c>
      <c r="L209" s="5">
        <v>6.5</v>
      </c>
      <c r="M209" s="5"/>
      <c r="N209" s="5"/>
      <c r="O209" s="5"/>
      <c r="P209" s="1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1"/>
    </row>
    <row r="210" spans="1:49" x14ac:dyDescent="0.35">
      <c r="A210" s="33">
        <f t="shared" si="3"/>
        <v>40299</v>
      </c>
      <c r="B210" s="5">
        <v>53.7</v>
      </c>
      <c r="C210" s="5">
        <v>2143234.0499999998</v>
      </c>
      <c r="D210" s="5">
        <v>60520</v>
      </c>
      <c r="E210" s="5">
        <v>3272.4270000000001</v>
      </c>
      <c r="F210" s="5">
        <v>12656.637467</v>
      </c>
      <c r="G210" s="5">
        <v>709.66281900000001</v>
      </c>
      <c r="H210" s="5">
        <v>1689.7437629999999</v>
      </c>
      <c r="I210" s="5">
        <v>7580.9435059999996</v>
      </c>
      <c r="J210" s="24">
        <v>4.1744186046511693</v>
      </c>
      <c r="K210" s="5">
        <v>9180</v>
      </c>
      <c r="L210" s="5">
        <v>6.5</v>
      </c>
      <c r="M210" s="5"/>
      <c r="N210" s="5"/>
      <c r="O210" s="5"/>
      <c r="P210" s="1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1"/>
    </row>
    <row r="211" spans="1:49" x14ac:dyDescent="0.35">
      <c r="A211" s="33">
        <f t="shared" si="3"/>
        <v>40330</v>
      </c>
      <c r="B211" s="5">
        <v>52.2</v>
      </c>
      <c r="C211" s="5">
        <v>2231144.33</v>
      </c>
      <c r="D211" s="5">
        <v>70388</v>
      </c>
      <c r="E211" s="5">
        <v>3396.89</v>
      </c>
      <c r="F211" s="5">
        <v>12330.114498999999</v>
      </c>
      <c r="G211" s="5">
        <v>915.51025400000003</v>
      </c>
      <c r="H211" s="5">
        <v>2095.2039150000001</v>
      </c>
      <c r="I211" s="5">
        <v>8749.2293370000007</v>
      </c>
      <c r="J211" s="24">
        <v>5.0638792102206667</v>
      </c>
      <c r="K211" s="5">
        <v>9083</v>
      </c>
      <c r="L211" s="5">
        <v>6.5</v>
      </c>
      <c r="M211" s="5"/>
      <c r="N211" s="5"/>
      <c r="O211" s="5"/>
      <c r="P211" s="1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1"/>
    </row>
    <row r="212" spans="1:49" x14ac:dyDescent="0.35">
      <c r="A212" s="33">
        <f t="shared" si="3"/>
        <v>40360</v>
      </c>
      <c r="B212" s="5">
        <v>51.9</v>
      </c>
      <c r="C212" s="5">
        <v>2217588.81</v>
      </c>
      <c r="D212" s="5">
        <v>72100</v>
      </c>
      <c r="E212" s="5">
        <v>3746.114</v>
      </c>
      <c r="F212" s="5">
        <v>12486.972905000001</v>
      </c>
      <c r="G212" s="5">
        <v>895.66669400000001</v>
      </c>
      <c r="H212" s="5">
        <v>2875.1093040000001</v>
      </c>
      <c r="I212" s="5">
        <v>8855.1600870000002</v>
      </c>
      <c r="J212" s="24">
        <v>6.2319343276679282</v>
      </c>
      <c r="K212" s="5">
        <v>8952</v>
      </c>
      <c r="L212" s="5">
        <v>6.5</v>
      </c>
      <c r="M212" s="5"/>
      <c r="N212" s="5"/>
      <c r="O212" s="5"/>
      <c r="P212" s="1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1"/>
    </row>
    <row r="213" spans="1:49" x14ac:dyDescent="0.35">
      <c r="A213" s="33">
        <f t="shared" si="3"/>
        <v>40391</v>
      </c>
      <c r="B213" s="5">
        <v>52.4</v>
      </c>
      <c r="C213" s="5">
        <v>2236459.4500000002</v>
      </c>
      <c r="D213" s="5">
        <v>64779</v>
      </c>
      <c r="E213" s="5">
        <v>3615.1814199999999</v>
      </c>
      <c r="F213" s="5">
        <v>13726.521967999999</v>
      </c>
      <c r="G213" s="5">
        <v>903.36814200000003</v>
      </c>
      <c r="H213" s="5">
        <v>2530.48236</v>
      </c>
      <c r="I213" s="5">
        <v>8737.7001099999998</v>
      </c>
      <c r="J213" s="24">
        <v>6.4505001724732542</v>
      </c>
      <c r="K213" s="5">
        <v>9041</v>
      </c>
      <c r="L213" s="5">
        <v>6.5</v>
      </c>
      <c r="M213" s="5"/>
      <c r="N213" s="5"/>
      <c r="O213" s="5"/>
      <c r="P213" s="1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1"/>
    </row>
    <row r="214" spans="1:49" x14ac:dyDescent="0.35">
      <c r="A214" s="33">
        <f t="shared" si="3"/>
        <v>40422</v>
      </c>
      <c r="B214" s="5">
        <v>52.4</v>
      </c>
      <c r="C214" s="5">
        <v>2274954.5699999998</v>
      </c>
      <c r="D214" s="5">
        <v>49147</v>
      </c>
      <c r="E214" s="5">
        <v>2555.8182609999999</v>
      </c>
      <c r="F214" s="5">
        <v>12181.628291999999</v>
      </c>
      <c r="G214" s="5">
        <v>676.724514</v>
      </c>
      <c r="H214" s="5">
        <v>2043.577444</v>
      </c>
      <c r="I214" s="5">
        <v>6933.825511</v>
      </c>
      <c r="J214" s="24">
        <v>5.8147473827947183</v>
      </c>
      <c r="K214" s="5">
        <v>8924</v>
      </c>
      <c r="L214" s="5">
        <v>6.5</v>
      </c>
      <c r="M214" s="5"/>
      <c r="N214" s="5"/>
      <c r="O214" s="5"/>
      <c r="P214" s="1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1"/>
    </row>
    <row r="215" spans="1:49" x14ac:dyDescent="0.35">
      <c r="A215" s="33">
        <f t="shared" si="3"/>
        <v>40452</v>
      </c>
      <c r="B215" s="5">
        <v>53.4</v>
      </c>
      <c r="C215" s="5">
        <v>2308845.9700000002</v>
      </c>
      <c r="D215" s="5">
        <v>69160</v>
      </c>
      <c r="E215" s="5">
        <v>3832.1511799999998</v>
      </c>
      <c r="F215" s="5">
        <v>14399.644856999999</v>
      </c>
      <c r="G215" s="5">
        <v>835.52391</v>
      </c>
      <c r="H215" s="5">
        <v>2510.267296</v>
      </c>
      <c r="I215" s="5">
        <v>8774.2253930000006</v>
      </c>
      <c r="J215" s="24">
        <v>5.6672345258376122</v>
      </c>
      <c r="K215" s="5">
        <v>8928</v>
      </c>
      <c r="L215" s="5">
        <v>6.5</v>
      </c>
      <c r="M215" s="5"/>
      <c r="N215" s="5"/>
      <c r="O215" s="5"/>
      <c r="P215" s="1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1"/>
    </row>
    <row r="216" spans="1:49" x14ac:dyDescent="0.35">
      <c r="A216" s="33">
        <f t="shared" si="3"/>
        <v>40483</v>
      </c>
      <c r="B216" s="5">
        <v>54.5</v>
      </c>
      <c r="C216" s="5">
        <v>2347806.86</v>
      </c>
      <c r="D216" s="5">
        <v>69249</v>
      </c>
      <c r="E216" s="5">
        <v>3531.9674399999999</v>
      </c>
      <c r="F216" s="5">
        <v>15633.275868000001</v>
      </c>
      <c r="G216" s="5">
        <v>989.18914600000005</v>
      </c>
      <c r="H216" s="5">
        <v>2449.4841369999999</v>
      </c>
      <c r="I216" s="5">
        <v>9568.9300519999997</v>
      </c>
      <c r="J216" s="24">
        <v>6.3394683026584966</v>
      </c>
      <c r="K216" s="5">
        <v>9013</v>
      </c>
      <c r="L216" s="5">
        <v>6.5</v>
      </c>
      <c r="M216" s="5"/>
      <c r="N216" s="5"/>
      <c r="O216" s="5"/>
      <c r="P216" s="1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1"/>
    </row>
    <row r="217" spans="1:49" x14ac:dyDescent="0.35">
      <c r="A217" s="33">
        <f t="shared" si="3"/>
        <v>40513</v>
      </c>
      <c r="B217" s="5">
        <v>54.6</v>
      </c>
      <c r="C217" s="5">
        <v>2471205.79</v>
      </c>
      <c r="D217" s="5">
        <v>70061</v>
      </c>
      <c r="E217" s="5">
        <v>3906.7759999999998</v>
      </c>
      <c r="F217" s="5">
        <v>16829.888772999999</v>
      </c>
      <c r="G217" s="5">
        <v>994.29607199999998</v>
      </c>
      <c r="H217" s="5">
        <v>2495.42344</v>
      </c>
      <c r="I217" s="5">
        <v>9656.951067</v>
      </c>
      <c r="J217" s="24">
        <v>6.9641037255123921</v>
      </c>
      <c r="K217" s="5">
        <v>8991</v>
      </c>
      <c r="L217" s="5">
        <v>6.5</v>
      </c>
      <c r="M217" s="5"/>
      <c r="N217" s="5"/>
      <c r="O217" s="5"/>
      <c r="P217" s="1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1"/>
    </row>
    <row r="218" spans="1:49" x14ac:dyDescent="0.35">
      <c r="A218" s="33">
        <f t="shared" si="3"/>
        <v>40544</v>
      </c>
      <c r="B218" s="5">
        <v>54.9</v>
      </c>
      <c r="C218" s="5">
        <v>2436678.9500000002</v>
      </c>
      <c r="D218" s="5">
        <v>73987</v>
      </c>
      <c r="E218" s="5">
        <v>3525.3919999999998</v>
      </c>
      <c r="F218" s="5">
        <v>14606.249454000001</v>
      </c>
      <c r="G218" s="5">
        <v>1029.8323559999999</v>
      </c>
      <c r="H218" s="5">
        <v>2101.8126379999999</v>
      </c>
      <c r="I218" s="5">
        <v>9427.0492649999997</v>
      </c>
      <c r="J218" s="24">
        <v>7.0065124635077263</v>
      </c>
      <c r="K218" s="5">
        <v>9057</v>
      </c>
      <c r="L218" s="5">
        <v>6.5</v>
      </c>
      <c r="M218" s="5"/>
      <c r="N218" s="5"/>
      <c r="O218" s="5"/>
      <c r="P218" s="1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1"/>
    </row>
    <row r="219" spans="1:49" x14ac:dyDescent="0.35">
      <c r="A219" s="33">
        <f t="shared" si="3"/>
        <v>40575</v>
      </c>
      <c r="B219" s="5">
        <v>53.6</v>
      </c>
      <c r="C219" s="5">
        <v>2420191.14</v>
      </c>
      <c r="D219" s="5">
        <v>69589</v>
      </c>
      <c r="E219" s="5">
        <v>3279.38564</v>
      </c>
      <c r="F219" s="5">
        <v>14415.278398</v>
      </c>
      <c r="G219" s="5">
        <v>908.22210500000006</v>
      </c>
      <c r="H219" s="5">
        <v>2120.3888280000001</v>
      </c>
      <c r="I219" s="5">
        <v>8721.2515179999991</v>
      </c>
      <c r="J219" s="24">
        <v>6.829377519032712</v>
      </c>
      <c r="K219" s="5">
        <v>8823</v>
      </c>
      <c r="L219" s="5">
        <v>6.75</v>
      </c>
      <c r="M219" s="5"/>
      <c r="N219" s="5"/>
      <c r="O219" s="5"/>
      <c r="P219" s="1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1"/>
    </row>
    <row r="220" spans="1:49" x14ac:dyDescent="0.35">
      <c r="A220" s="33">
        <f t="shared" si="3"/>
        <v>40603</v>
      </c>
      <c r="B220" s="5">
        <v>53.4</v>
      </c>
      <c r="C220" s="5">
        <v>2451356.92</v>
      </c>
      <c r="D220" s="5">
        <v>82163</v>
      </c>
      <c r="E220" s="5">
        <v>3769.4365600000001</v>
      </c>
      <c r="F220" s="5">
        <v>16365.953469</v>
      </c>
      <c r="G220" s="5">
        <v>1290.296462</v>
      </c>
      <c r="H220" s="5">
        <v>2666.7234749999998</v>
      </c>
      <c r="I220" s="5">
        <v>10529.218269999999</v>
      </c>
      <c r="J220" s="24">
        <v>6.636771300448439</v>
      </c>
      <c r="K220" s="5">
        <v>8709</v>
      </c>
      <c r="L220" s="5">
        <v>6.75</v>
      </c>
      <c r="M220" s="5"/>
      <c r="N220" s="5"/>
      <c r="O220" s="5"/>
      <c r="P220" s="1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1"/>
    </row>
    <row r="221" spans="1:49" x14ac:dyDescent="0.35">
      <c r="A221" s="33">
        <f t="shared" si="3"/>
        <v>40634</v>
      </c>
      <c r="B221" s="5">
        <v>53</v>
      </c>
      <c r="C221" s="5">
        <v>2434478.39</v>
      </c>
      <c r="D221" s="5">
        <v>60726</v>
      </c>
      <c r="E221" s="5">
        <v>3734.2020000000002</v>
      </c>
      <c r="F221" s="5">
        <v>16554.240766999999</v>
      </c>
      <c r="G221" s="5">
        <v>1059.225101</v>
      </c>
      <c r="H221" s="5">
        <v>2325.996701</v>
      </c>
      <c r="I221" s="5">
        <v>11503.008680000001</v>
      </c>
      <c r="J221" s="24">
        <v>6.1457517071532388</v>
      </c>
      <c r="K221" s="5">
        <v>8574</v>
      </c>
      <c r="L221" s="5">
        <v>6.75</v>
      </c>
      <c r="M221" s="5"/>
      <c r="N221" s="5"/>
      <c r="O221" s="5"/>
      <c r="P221" s="1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1"/>
    </row>
    <row r="222" spans="1:49" x14ac:dyDescent="0.35">
      <c r="A222" s="33">
        <f t="shared" si="3"/>
        <v>40664</v>
      </c>
      <c r="B222" s="5">
        <v>52.4</v>
      </c>
      <c r="C222" s="5">
        <v>2475285.98</v>
      </c>
      <c r="D222" s="5">
        <v>61053</v>
      </c>
      <c r="E222" s="5">
        <v>4082.89</v>
      </c>
      <c r="F222" s="5">
        <v>18287.435825</v>
      </c>
      <c r="G222" s="5">
        <v>976.72211600000003</v>
      </c>
      <c r="H222" s="5">
        <v>2414.7856809999998</v>
      </c>
      <c r="I222" s="5">
        <v>11434.36112</v>
      </c>
      <c r="J222" s="24">
        <v>5.9716486214979128</v>
      </c>
      <c r="K222" s="5">
        <v>8537</v>
      </c>
      <c r="L222" s="5">
        <v>6.75</v>
      </c>
      <c r="M222" s="5"/>
      <c r="N222" s="5"/>
      <c r="O222" s="5"/>
      <c r="P222" s="1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1"/>
    </row>
    <row r="223" spans="1:49" x14ac:dyDescent="0.35">
      <c r="A223" s="33">
        <f t="shared" si="3"/>
        <v>40695</v>
      </c>
      <c r="B223" s="5">
        <v>51.4</v>
      </c>
      <c r="C223" s="5">
        <v>2522783.81</v>
      </c>
      <c r="D223" s="5">
        <v>70154</v>
      </c>
      <c r="E223" s="5">
        <v>4101.1042200000002</v>
      </c>
      <c r="F223" s="5">
        <v>18386.855403000001</v>
      </c>
      <c r="G223" s="5">
        <v>1078.742162</v>
      </c>
      <c r="H223" s="5">
        <v>2734.385581</v>
      </c>
      <c r="I223" s="5">
        <v>11258.925649999999</v>
      </c>
      <c r="J223" s="24">
        <v>5.5273048861375358</v>
      </c>
      <c r="K223" s="5">
        <v>8597</v>
      </c>
      <c r="L223" s="5">
        <v>6.75</v>
      </c>
      <c r="M223" s="5"/>
      <c r="N223" s="5"/>
      <c r="O223" s="5"/>
      <c r="P223" s="1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1"/>
    </row>
    <row r="224" spans="1:49" x14ac:dyDescent="0.35">
      <c r="A224" s="33">
        <f t="shared" si="3"/>
        <v>40725</v>
      </c>
      <c r="B224" s="5">
        <v>50.5</v>
      </c>
      <c r="C224" s="5">
        <v>2564556.13</v>
      </c>
      <c r="D224" s="5">
        <v>89056</v>
      </c>
      <c r="E224" s="5">
        <v>4378.3926300000003</v>
      </c>
      <c r="F224" s="5">
        <v>17418.472565</v>
      </c>
      <c r="G224" s="5">
        <v>1211.2747400000001</v>
      </c>
      <c r="H224" s="5">
        <v>2881.6336160000001</v>
      </c>
      <c r="I224" s="5">
        <v>12114.368409999999</v>
      </c>
      <c r="J224" s="24">
        <v>4.5929473225946857</v>
      </c>
      <c r="K224" s="5">
        <v>8508</v>
      </c>
      <c r="L224" s="5">
        <v>6.75</v>
      </c>
      <c r="M224" s="5"/>
      <c r="N224" s="5"/>
      <c r="O224" s="5"/>
      <c r="P224" s="1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1"/>
    </row>
    <row r="225" spans="1:49" x14ac:dyDescent="0.35">
      <c r="A225" s="33">
        <f t="shared" si="3"/>
        <v>40756</v>
      </c>
      <c r="B225" s="5">
        <v>50.1</v>
      </c>
      <c r="C225" s="5">
        <v>2621345.7400000002</v>
      </c>
      <c r="D225" s="5">
        <v>73279</v>
      </c>
      <c r="E225" s="5">
        <v>3603.2339999999999</v>
      </c>
      <c r="F225" s="5">
        <v>18647.825151000001</v>
      </c>
      <c r="G225" s="5">
        <v>1200.460564</v>
      </c>
      <c r="H225" s="5">
        <v>2778.8011510000001</v>
      </c>
      <c r="I225" s="5">
        <v>11096.10763</v>
      </c>
      <c r="J225" s="24">
        <v>4.7634478289047228</v>
      </c>
      <c r="K225" s="5">
        <v>8578</v>
      </c>
      <c r="L225" s="5">
        <v>6.75</v>
      </c>
      <c r="M225" s="5"/>
      <c r="N225" s="5"/>
      <c r="O225" s="5"/>
      <c r="P225" s="1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1"/>
    </row>
    <row r="226" spans="1:49" x14ac:dyDescent="0.35">
      <c r="A226" s="33">
        <f t="shared" si="3"/>
        <v>40787</v>
      </c>
      <c r="B226" s="5">
        <v>49.7</v>
      </c>
      <c r="C226" s="5">
        <v>2643331.4500000002</v>
      </c>
      <c r="D226" s="5">
        <v>79832</v>
      </c>
      <c r="E226" s="5">
        <v>3842.5260899999998</v>
      </c>
      <c r="F226" s="5">
        <v>17543.408243000002</v>
      </c>
      <c r="G226" s="5">
        <v>1179.112484</v>
      </c>
      <c r="H226" s="5">
        <v>3018.7287630000001</v>
      </c>
      <c r="I226" s="5">
        <v>10971.274289999999</v>
      </c>
      <c r="J226" s="24">
        <v>4.5918916012474522</v>
      </c>
      <c r="K226" s="5">
        <v>8823</v>
      </c>
      <c r="L226" s="5">
        <v>6.75</v>
      </c>
      <c r="M226" s="5"/>
      <c r="N226" s="5"/>
      <c r="O226" s="5"/>
      <c r="P226" s="1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1"/>
    </row>
    <row r="227" spans="1:49" x14ac:dyDescent="0.35">
      <c r="A227" s="33">
        <f t="shared" si="3"/>
        <v>40817</v>
      </c>
      <c r="B227" s="5">
        <v>50.7</v>
      </c>
      <c r="C227" s="5">
        <v>2677786.9300000002</v>
      </c>
      <c r="D227" s="5">
        <v>86345</v>
      </c>
      <c r="E227" s="5">
        <v>4667.77225</v>
      </c>
      <c r="F227" s="5">
        <v>16957.743299999998</v>
      </c>
      <c r="G227" s="5">
        <v>1261.7639059999999</v>
      </c>
      <c r="H227" s="5">
        <v>3101.9021929999999</v>
      </c>
      <c r="I227" s="5">
        <v>11169.712869999999</v>
      </c>
      <c r="J227" s="24">
        <v>4.4067067927772836</v>
      </c>
      <c r="K227" s="5">
        <v>8835</v>
      </c>
      <c r="L227" s="5">
        <v>6.5</v>
      </c>
      <c r="M227" s="5"/>
      <c r="N227" s="5"/>
      <c r="O227" s="5"/>
      <c r="P227" s="1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1"/>
    </row>
    <row r="228" spans="1:49" x14ac:dyDescent="0.35">
      <c r="A228" s="33">
        <f t="shared" si="3"/>
        <v>40848</v>
      </c>
      <c r="B228" s="5">
        <v>49</v>
      </c>
      <c r="C228" s="5">
        <v>2729538.27</v>
      </c>
      <c r="D228" s="5">
        <v>67655</v>
      </c>
      <c r="E228" s="5">
        <v>4447.26577</v>
      </c>
      <c r="F228" s="5">
        <v>17235.463272000001</v>
      </c>
      <c r="G228" s="5">
        <v>1089.538583</v>
      </c>
      <c r="H228" s="5">
        <v>3190.4852449999998</v>
      </c>
      <c r="I228" s="5">
        <v>11113.87285</v>
      </c>
      <c r="J228" s="24">
        <v>4.1346153846153726</v>
      </c>
      <c r="K228" s="5">
        <v>9170</v>
      </c>
      <c r="L228" s="5">
        <v>6</v>
      </c>
      <c r="M228" s="5"/>
      <c r="N228" s="5"/>
      <c r="O228" s="5"/>
      <c r="P228" s="1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1"/>
    </row>
    <row r="229" spans="1:49" x14ac:dyDescent="0.35">
      <c r="A229" s="33">
        <f t="shared" si="3"/>
        <v>40878</v>
      </c>
      <c r="B229" s="5">
        <v>49.5</v>
      </c>
      <c r="C229" s="5">
        <v>2877219.57</v>
      </c>
      <c r="D229" s="5">
        <v>80325</v>
      </c>
      <c r="E229" s="5">
        <v>4556.5977800000001</v>
      </c>
      <c r="F229" s="5">
        <v>17077.694229000001</v>
      </c>
      <c r="G229" s="5">
        <v>1107.6704910000001</v>
      </c>
      <c r="H229" s="5">
        <v>3772.7988089999999</v>
      </c>
      <c r="I229" s="5">
        <v>11595.101430000001</v>
      </c>
      <c r="J229" s="24">
        <v>3.7793775142917756</v>
      </c>
      <c r="K229" s="5">
        <v>9068</v>
      </c>
      <c r="L229" s="5">
        <v>6</v>
      </c>
      <c r="M229" s="5"/>
      <c r="N229" s="5"/>
      <c r="O229" s="5"/>
      <c r="P229" s="1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1"/>
    </row>
    <row r="230" spans="1:49" x14ac:dyDescent="0.35">
      <c r="A230" s="33">
        <f t="shared" si="3"/>
        <v>40909</v>
      </c>
      <c r="B230" s="5">
        <v>50</v>
      </c>
      <c r="C230" s="5">
        <v>2857126.93</v>
      </c>
      <c r="D230" s="5">
        <v>76427</v>
      </c>
      <c r="E230" s="5">
        <v>4059.7109999999998</v>
      </c>
      <c r="F230" s="5">
        <v>15570.069318</v>
      </c>
      <c r="G230" s="5">
        <v>1100.516306</v>
      </c>
      <c r="H230" s="5">
        <v>2992.0559760000001</v>
      </c>
      <c r="I230" s="5">
        <v>10462.0465</v>
      </c>
      <c r="J230" s="24">
        <v>3.6411332633788303</v>
      </c>
      <c r="K230" s="5">
        <v>9000</v>
      </c>
      <c r="L230" s="5">
        <v>6</v>
      </c>
      <c r="M230" s="5"/>
      <c r="N230" s="5"/>
      <c r="O230" s="5"/>
      <c r="P230" s="1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1"/>
    </row>
    <row r="231" spans="1:49" x14ac:dyDescent="0.35">
      <c r="A231" s="33">
        <f t="shared" si="3"/>
        <v>40940</v>
      </c>
      <c r="B231" s="5">
        <v>50.9</v>
      </c>
      <c r="C231" s="5">
        <v>2852004.94</v>
      </c>
      <c r="D231" s="5">
        <v>86486</v>
      </c>
      <c r="E231" s="5">
        <v>4062.51361</v>
      </c>
      <c r="F231" s="5">
        <v>15695.443241999999</v>
      </c>
      <c r="G231" s="5">
        <v>1195.810827</v>
      </c>
      <c r="H231" s="5">
        <v>2948.9525410000001</v>
      </c>
      <c r="I231" s="5">
        <v>10722.02174</v>
      </c>
      <c r="J231" s="24">
        <v>3.4793544330329067</v>
      </c>
      <c r="K231" s="5">
        <v>9085</v>
      </c>
      <c r="L231" s="5">
        <v>5.75</v>
      </c>
      <c r="M231" s="5"/>
      <c r="N231" s="5"/>
      <c r="O231" s="5"/>
      <c r="P231" s="1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1"/>
    </row>
    <row r="232" spans="1:49" x14ac:dyDescent="0.35">
      <c r="A232" s="33">
        <f t="shared" si="3"/>
        <v>40969</v>
      </c>
      <c r="B232" s="5">
        <v>50.4</v>
      </c>
      <c r="C232" s="5">
        <v>2914194.47</v>
      </c>
      <c r="D232" s="5">
        <v>87917</v>
      </c>
      <c r="E232" s="5">
        <v>4379.02394</v>
      </c>
      <c r="F232" s="5">
        <v>17251.519441</v>
      </c>
      <c r="G232" s="5">
        <v>1085.5394940000001</v>
      </c>
      <c r="H232" s="5">
        <v>3227.688885</v>
      </c>
      <c r="I232" s="5">
        <v>12012.4341</v>
      </c>
      <c r="J232" s="24">
        <v>3.8793103448275774</v>
      </c>
      <c r="K232" s="5">
        <v>9180</v>
      </c>
      <c r="L232" s="5">
        <v>5.75</v>
      </c>
      <c r="M232" s="5"/>
      <c r="N232" s="5"/>
      <c r="O232" s="5"/>
      <c r="P232" s="1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1"/>
    </row>
    <row r="233" spans="1:49" x14ac:dyDescent="0.35">
      <c r="A233" s="33">
        <f t="shared" si="3"/>
        <v>41000</v>
      </c>
      <c r="B233" s="5">
        <v>50.9</v>
      </c>
      <c r="C233" s="5">
        <v>2929610.37</v>
      </c>
      <c r="D233" s="5">
        <v>87144</v>
      </c>
      <c r="E233" s="5">
        <v>4182.7927099999997</v>
      </c>
      <c r="F233" s="5">
        <v>16173.190978000001</v>
      </c>
      <c r="G233" s="5">
        <v>1061.055447</v>
      </c>
      <c r="H233" s="5">
        <v>3365.9698269999999</v>
      </c>
      <c r="I233" s="5">
        <v>12510.85045</v>
      </c>
      <c r="J233" s="24">
        <v>4.4188989664628</v>
      </c>
      <c r="K233" s="5">
        <v>9190</v>
      </c>
      <c r="L233" s="5">
        <v>5.75</v>
      </c>
      <c r="M233" s="5"/>
      <c r="N233" s="5"/>
      <c r="O233" s="5"/>
      <c r="P233" s="1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1"/>
    </row>
    <row r="234" spans="1:49" x14ac:dyDescent="0.35">
      <c r="A234" s="33">
        <f t="shared" si="3"/>
        <v>41030</v>
      </c>
      <c r="B234" s="5">
        <v>50.1</v>
      </c>
      <c r="C234" s="5">
        <v>2994474.39</v>
      </c>
      <c r="D234" s="5">
        <v>95541</v>
      </c>
      <c r="E234" s="5">
        <v>4718.7973300000003</v>
      </c>
      <c r="F234" s="5">
        <v>16829.545550999999</v>
      </c>
      <c r="G234" s="5">
        <v>1154.362811</v>
      </c>
      <c r="H234" s="5">
        <v>3418.6021270000001</v>
      </c>
      <c r="I234" s="5">
        <v>12735.86377</v>
      </c>
      <c r="J234" s="24">
        <v>4.3501158626501049</v>
      </c>
      <c r="K234" s="5">
        <v>9565</v>
      </c>
      <c r="L234" s="5">
        <v>5.75</v>
      </c>
      <c r="M234" s="5"/>
      <c r="N234" s="5"/>
      <c r="O234" s="5"/>
      <c r="P234" s="1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1"/>
    </row>
    <row r="235" spans="1:49" x14ac:dyDescent="0.35">
      <c r="A235" s="33">
        <f t="shared" si="3"/>
        <v>41061</v>
      </c>
      <c r="B235" s="5">
        <v>49.7</v>
      </c>
      <c r="C235" s="5">
        <v>3052786.1</v>
      </c>
      <c r="D235" s="5">
        <v>101746</v>
      </c>
      <c r="E235" s="5">
        <v>4488.6888799999997</v>
      </c>
      <c r="F235" s="5">
        <v>15441.457934</v>
      </c>
      <c r="G235" s="5">
        <v>1152.5324909999999</v>
      </c>
      <c r="H235" s="5">
        <v>3468.9644020000001</v>
      </c>
      <c r="I235" s="5">
        <v>11833.931479999999</v>
      </c>
      <c r="J235" s="24">
        <v>4.3264194426984997</v>
      </c>
      <c r="K235" s="5">
        <v>9480</v>
      </c>
      <c r="L235" s="5">
        <v>5.75</v>
      </c>
      <c r="M235" s="5"/>
      <c r="N235" s="5"/>
      <c r="O235" s="5"/>
      <c r="P235" s="1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1"/>
    </row>
    <row r="236" spans="1:49" x14ac:dyDescent="0.35">
      <c r="A236" s="33">
        <f t="shared" si="3"/>
        <v>41091</v>
      </c>
      <c r="B236" s="5">
        <v>49.8</v>
      </c>
      <c r="C236" s="5">
        <v>3057335.75</v>
      </c>
      <c r="D236" s="5">
        <v>102511</v>
      </c>
      <c r="E236" s="5">
        <v>4811.4159300000001</v>
      </c>
      <c r="F236" s="5">
        <v>16090.595302</v>
      </c>
      <c r="G236" s="5">
        <v>1216.9047390000001</v>
      </c>
      <c r="H236" s="5">
        <v>3442.0157340000001</v>
      </c>
      <c r="I236" s="5">
        <v>11695.52981</v>
      </c>
      <c r="J236" s="24">
        <v>4.2247658688865819</v>
      </c>
      <c r="K236" s="5">
        <v>9485</v>
      </c>
      <c r="L236" s="5">
        <v>5.75</v>
      </c>
      <c r="M236" s="5"/>
      <c r="N236" s="5"/>
      <c r="O236" s="5"/>
      <c r="P236" s="1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1"/>
    </row>
    <row r="237" spans="1:49" x14ac:dyDescent="0.35">
      <c r="A237" s="33">
        <f t="shared" si="3"/>
        <v>41122</v>
      </c>
      <c r="B237" s="5">
        <v>49</v>
      </c>
      <c r="C237" s="5">
        <v>3091568.49</v>
      </c>
      <c r="D237" s="5">
        <v>76445</v>
      </c>
      <c r="E237" s="5">
        <v>3601.2570000000001</v>
      </c>
      <c r="F237" s="5">
        <v>14047.007380999999</v>
      </c>
      <c r="G237" s="5">
        <v>939.89876800000002</v>
      </c>
      <c r="H237" s="5">
        <v>2890.895043</v>
      </c>
      <c r="I237" s="5">
        <v>9983.081999</v>
      </c>
      <c r="J237" s="24">
        <v>4.0932054851015645</v>
      </c>
      <c r="K237" s="5">
        <v>9560</v>
      </c>
      <c r="L237" s="5">
        <v>5.75</v>
      </c>
      <c r="M237" s="5"/>
      <c r="N237" s="5"/>
      <c r="O237" s="5"/>
      <c r="P237" s="1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1"/>
    </row>
    <row r="238" spans="1:49" x14ac:dyDescent="0.35">
      <c r="A238" s="33">
        <f t="shared" si="3"/>
        <v>41153</v>
      </c>
      <c r="B238" s="5">
        <v>49.1</v>
      </c>
      <c r="C238" s="5">
        <v>3128179.27</v>
      </c>
      <c r="D238" s="5">
        <v>102100</v>
      </c>
      <c r="E238" s="5">
        <v>5163.6207400000003</v>
      </c>
      <c r="F238" s="5">
        <v>15898.115721</v>
      </c>
      <c r="G238" s="5">
        <v>1082.5652070000001</v>
      </c>
      <c r="H238" s="5">
        <v>2799.0808820000002</v>
      </c>
      <c r="I238" s="5">
        <v>11466.91138</v>
      </c>
      <c r="J238" s="24">
        <v>3.8145177873740352</v>
      </c>
      <c r="K238" s="5">
        <v>9588</v>
      </c>
      <c r="L238" s="5">
        <v>5.75</v>
      </c>
      <c r="M238" s="5"/>
      <c r="N238" s="5"/>
      <c r="O238" s="5"/>
      <c r="P238" s="1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1"/>
    </row>
    <row r="239" spans="1:49" x14ac:dyDescent="0.35">
      <c r="A239" s="33">
        <f t="shared" si="3"/>
        <v>41183</v>
      </c>
      <c r="B239" s="5">
        <v>50.2</v>
      </c>
      <c r="C239" s="5">
        <v>3164443.15</v>
      </c>
      <c r="D239" s="5">
        <v>106754</v>
      </c>
      <c r="E239" s="5">
        <v>5168.6810599999999</v>
      </c>
      <c r="F239" s="5">
        <v>15324.042718999999</v>
      </c>
      <c r="G239" s="5">
        <v>1056.985492</v>
      </c>
      <c r="H239" s="5">
        <v>3304.8682020000001</v>
      </c>
      <c r="I239" s="5">
        <v>12846.077670000001</v>
      </c>
      <c r="J239" s="24">
        <v>4.1074737492279203</v>
      </c>
      <c r="K239" s="5">
        <v>9615</v>
      </c>
      <c r="L239" s="5">
        <v>5.75</v>
      </c>
      <c r="M239" s="5"/>
      <c r="N239" s="5"/>
      <c r="O239" s="5"/>
      <c r="P239" s="1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1"/>
    </row>
    <row r="240" spans="1:49" x14ac:dyDescent="0.35">
      <c r="A240" s="33">
        <f t="shared" si="3"/>
        <v>41214</v>
      </c>
      <c r="B240" s="5">
        <v>50.8</v>
      </c>
      <c r="C240" s="5">
        <v>3207908.29</v>
      </c>
      <c r="D240" s="5">
        <v>103703</v>
      </c>
      <c r="E240" s="5">
        <v>5221.6034900000004</v>
      </c>
      <c r="F240" s="5">
        <v>16316.911270000001</v>
      </c>
      <c r="G240" s="5">
        <v>1188.4771169999999</v>
      </c>
      <c r="H240" s="5">
        <v>3269.8098329999998</v>
      </c>
      <c r="I240" s="5">
        <v>12476.72278</v>
      </c>
      <c r="J240" s="24">
        <v>3.7960398071201502</v>
      </c>
      <c r="K240" s="5">
        <v>9605</v>
      </c>
      <c r="L240" s="5">
        <v>5.75</v>
      </c>
      <c r="M240" s="5"/>
      <c r="N240" s="5"/>
      <c r="O240" s="5"/>
      <c r="P240" s="1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1"/>
    </row>
    <row r="241" spans="1:49" x14ac:dyDescent="0.35">
      <c r="A241" s="33">
        <f t="shared" si="3"/>
        <v>41244</v>
      </c>
      <c r="B241" s="5">
        <v>51.6</v>
      </c>
      <c r="C241" s="5">
        <v>3307507.55</v>
      </c>
      <c r="D241" s="5">
        <v>89456</v>
      </c>
      <c r="E241" s="5">
        <v>5111.3721599999999</v>
      </c>
      <c r="F241" s="5">
        <v>15393.946386</v>
      </c>
      <c r="G241" s="5">
        <v>1173.968353</v>
      </c>
      <c r="H241" s="5">
        <v>3025.9186749999999</v>
      </c>
      <c r="I241" s="5">
        <v>11382.090260000001</v>
      </c>
      <c r="J241" s="24">
        <v>3.6519432826685683</v>
      </c>
      <c r="K241" s="5">
        <v>9670</v>
      </c>
      <c r="L241" s="5">
        <v>5.75</v>
      </c>
      <c r="M241" s="5"/>
      <c r="N241" s="5"/>
      <c r="O241" s="5"/>
      <c r="P241" s="1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1"/>
    </row>
    <row r="242" spans="1:49" x14ac:dyDescent="0.35">
      <c r="A242" s="33">
        <f t="shared" si="3"/>
        <v>41275</v>
      </c>
      <c r="B242" s="5">
        <v>52.1</v>
      </c>
      <c r="C242" s="5">
        <v>3268789.15</v>
      </c>
      <c r="D242" s="5">
        <v>96718</v>
      </c>
      <c r="E242" s="5">
        <v>4650.1072100000001</v>
      </c>
      <c r="F242" s="5">
        <v>15375.487902000001</v>
      </c>
      <c r="G242" s="5">
        <v>911.20494699999995</v>
      </c>
      <c r="H242" s="5">
        <v>2610.402873</v>
      </c>
      <c r="I242" s="5">
        <v>11928.627500000001</v>
      </c>
      <c r="J242" s="24">
        <v>3.8371975296142424</v>
      </c>
      <c r="K242" s="5">
        <v>9698</v>
      </c>
      <c r="L242" s="5">
        <v>5.75</v>
      </c>
      <c r="M242" s="5"/>
      <c r="N242" s="5"/>
      <c r="O242" s="5"/>
      <c r="P242" s="1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1"/>
    </row>
    <row r="243" spans="1:49" x14ac:dyDescent="0.35">
      <c r="A243" s="33">
        <f t="shared" si="3"/>
        <v>41306</v>
      </c>
      <c r="B243" s="5">
        <v>51.2</v>
      </c>
      <c r="C243" s="5">
        <v>3280420.25</v>
      </c>
      <c r="D243" s="5">
        <v>103278</v>
      </c>
      <c r="E243" s="5">
        <v>4404.7100300000002</v>
      </c>
      <c r="F243" s="5">
        <v>15015.627735</v>
      </c>
      <c r="G243" s="5">
        <v>1016.2811369999999</v>
      </c>
      <c r="H243" s="5">
        <v>2567.8424450000002</v>
      </c>
      <c r="I243" s="5">
        <v>11729.16265</v>
      </c>
      <c r="J243" s="24">
        <v>4.5979339679967506</v>
      </c>
      <c r="K243" s="5">
        <v>9667</v>
      </c>
      <c r="L243" s="5">
        <v>5.75</v>
      </c>
      <c r="M243" s="5"/>
      <c r="N243" s="5"/>
      <c r="O243" s="5"/>
      <c r="P243" s="1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1"/>
    </row>
    <row r="244" spans="1:49" x14ac:dyDescent="0.35">
      <c r="A244" s="33">
        <f t="shared" si="3"/>
        <v>41334</v>
      </c>
      <c r="B244" s="5">
        <v>51.6</v>
      </c>
      <c r="C244" s="5">
        <v>3322528.96</v>
      </c>
      <c r="D244" s="5">
        <v>95996</v>
      </c>
      <c r="E244" s="5">
        <v>4533.0767400000004</v>
      </c>
      <c r="F244" s="5">
        <v>15024.577683</v>
      </c>
      <c r="G244" s="5">
        <v>906.22815400000002</v>
      </c>
      <c r="H244" s="5">
        <v>2532.2054539999999</v>
      </c>
      <c r="I244" s="5">
        <v>11448.642037</v>
      </c>
      <c r="J244" s="24">
        <v>5.0197348446513441</v>
      </c>
      <c r="K244" s="5">
        <v>9719</v>
      </c>
      <c r="L244" s="5">
        <v>5.75</v>
      </c>
      <c r="M244" s="5"/>
      <c r="N244" s="5"/>
      <c r="O244" s="5"/>
      <c r="P244" s="1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1"/>
    </row>
    <row r="245" spans="1:49" x14ac:dyDescent="0.35">
      <c r="A245" s="33">
        <f t="shared" si="3"/>
        <v>41365</v>
      </c>
      <c r="B245" s="5">
        <v>50.8</v>
      </c>
      <c r="C245" s="5">
        <v>3360928.07</v>
      </c>
      <c r="D245" s="5">
        <v>102257</v>
      </c>
      <c r="E245" s="5">
        <v>4540.89534</v>
      </c>
      <c r="F245" s="5">
        <v>14760.892129</v>
      </c>
      <c r="G245" s="5">
        <v>1079.2774890000001</v>
      </c>
      <c r="H245" s="5">
        <v>2654.4529689999999</v>
      </c>
      <c r="I245" s="5">
        <v>12729.738386000001</v>
      </c>
      <c r="J245" s="24">
        <v>4.8580951419048457</v>
      </c>
      <c r="K245" s="5">
        <v>9722</v>
      </c>
      <c r="L245" s="5">
        <v>5.75</v>
      </c>
      <c r="M245" s="5"/>
      <c r="N245" s="5"/>
      <c r="O245" s="5"/>
      <c r="P245" s="1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1"/>
    </row>
    <row r="246" spans="1:49" x14ac:dyDescent="0.35">
      <c r="A246" s="33">
        <f t="shared" si="3"/>
        <v>41395</v>
      </c>
      <c r="B246" s="5">
        <v>50</v>
      </c>
      <c r="C246" s="5">
        <v>3426304.92</v>
      </c>
      <c r="D246" s="5">
        <v>99697</v>
      </c>
      <c r="E246" s="5">
        <v>4822.469983</v>
      </c>
      <c r="F246" s="5">
        <v>16133.358194</v>
      </c>
      <c r="G246" s="5">
        <v>1286.398919</v>
      </c>
      <c r="H246" s="5">
        <v>2841.2906990000001</v>
      </c>
      <c r="I246" s="5">
        <v>12532.869674</v>
      </c>
      <c r="J246" s="24">
        <v>4.8955284142525475</v>
      </c>
      <c r="K246" s="5">
        <v>9802</v>
      </c>
      <c r="L246" s="5">
        <v>5.75</v>
      </c>
      <c r="M246" s="5"/>
      <c r="N246" s="5"/>
      <c r="O246" s="5"/>
      <c r="P246" s="1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1"/>
    </row>
    <row r="247" spans="1:49" x14ac:dyDescent="0.35">
      <c r="A247" s="33">
        <f t="shared" si="3"/>
        <v>41426</v>
      </c>
      <c r="B247" s="5">
        <v>49.3</v>
      </c>
      <c r="C247" s="5">
        <v>3413378.66</v>
      </c>
      <c r="D247" s="5">
        <v>104268</v>
      </c>
      <c r="E247" s="5">
        <v>4900.4118600000002</v>
      </c>
      <c r="F247" s="5">
        <v>14758.819153</v>
      </c>
      <c r="G247" s="5">
        <v>1234.0088800000001</v>
      </c>
      <c r="H247" s="5">
        <v>2654.9046480000002</v>
      </c>
      <c r="I247" s="5">
        <v>11747.106435</v>
      </c>
      <c r="J247" s="24">
        <v>5.4121899789135375</v>
      </c>
      <c r="K247" s="5">
        <v>9929</v>
      </c>
      <c r="L247" s="5">
        <v>6</v>
      </c>
      <c r="M247" s="5"/>
      <c r="N247" s="5"/>
      <c r="O247" s="5"/>
      <c r="P247" s="1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1"/>
    </row>
    <row r="248" spans="1:49" x14ac:dyDescent="0.35">
      <c r="A248" s="33">
        <f t="shared" si="3"/>
        <v>41456</v>
      </c>
      <c r="B248" s="5">
        <v>48.7</v>
      </c>
      <c r="C248" s="5">
        <v>3506573.6</v>
      </c>
      <c r="D248" s="5">
        <v>112178</v>
      </c>
      <c r="E248" s="5">
        <v>5023.3239999999996</v>
      </c>
      <c r="F248" s="5">
        <v>15087.863565</v>
      </c>
      <c r="G248" s="5">
        <v>1364.085959</v>
      </c>
      <c r="H248" s="5">
        <v>3006.8073039999999</v>
      </c>
      <c r="I248" s="5">
        <v>13046.098408</v>
      </c>
      <c r="J248" s="24">
        <v>7.9772364217252409</v>
      </c>
      <c r="K248" s="5">
        <v>10278</v>
      </c>
      <c r="L248" s="5">
        <v>6.5</v>
      </c>
      <c r="M248" s="5"/>
      <c r="N248" s="5"/>
      <c r="O248" s="5"/>
      <c r="P248" s="1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1"/>
    </row>
    <row r="249" spans="1:49" x14ac:dyDescent="0.35">
      <c r="A249" s="33">
        <f t="shared" si="3"/>
        <v>41487</v>
      </c>
      <c r="B249" s="5">
        <v>50</v>
      </c>
      <c r="C249" s="5">
        <v>3502419.8</v>
      </c>
      <c r="D249" s="5">
        <v>77964</v>
      </c>
      <c r="E249" s="5">
        <v>3392.6026499999998</v>
      </c>
      <c r="F249" s="5">
        <v>13083.707039000001</v>
      </c>
      <c r="G249" s="5">
        <v>907.82184600000005</v>
      </c>
      <c r="H249" s="5">
        <v>2083.1687010000001</v>
      </c>
      <c r="I249" s="5">
        <v>10021.05529</v>
      </c>
      <c r="J249" s="24">
        <v>8.1814580031695705</v>
      </c>
      <c r="K249" s="5">
        <v>10924</v>
      </c>
      <c r="L249" s="5">
        <v>7</v>
      </c>
      <c r="M249" s="5"/>
      <c r="N249" s="5"/>
      <c r="O249" s="5"/>
      <c r="P249" s="1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1"/>
    </row>
    <row r="250" spans="1:49" x14ac:dyDescent="0.35">
      <c r="A250" s="33">
        <f t="shared" si="3"/>
        <v>41518</v>
      </c>
      <c r="B250" s="5">
        <v>50.5</v>
      </c>
      <c r="C250" s="5">
        <v>3584080.54</v>
      </c>
      <c r="D250" s="5">
        <v>115974</v>
      </c>
      <c r="E250" s="5">
        <v>5329.4537099999998</v>
      </c>
      <c r="F250" s="5">
        <v>14706.775079999999</v>
      </c>
      <c r="G250" s="5">
        <v>1088.6687340000001</v>
      </c>
      <c r="H250" s="5">
        <v>2789.095311</v>
      </c>
      <c r="I250" s="5">
        <v>11632.010899999999</v>
      </c>
      <c r="J250" s="24">
        <v>7.9033376250371639</v>
      </c>
      <c r="K250" s="5">
        <v>11613</v>
      </c>
      <c r="L250" s="5">
        <v>7.25</v>
      </c>
      <c r="M250" s="5"/>
      <c r="N250" s="5"/>
      <c r="O250" s="5"/>
      <c r="P250" s="1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1"/>
    </row>
    <row r="251" spans="1:49" x14ac:dyDescent="0.35">
      <c r="A251" s="33">
        <f t="shared" si="3"/>
        <v>41548</v>
      </c>
      <c r="B251" s="5">
        <v>51.1</v>
      </c>
      <c r="C251" s="5">
        <v>3576869.35</v>
      </c>
      <c r="D251" s="5">
        <v>112039</v>
      </c>
      <c r="E251" s="5">
        <v>5579.8079500000003</v>
      </c>
      <c r="F251" s="5">
        <v>15698.330394000001</v>
      </c>
      <c r="G251" s="5">
        <v>1055.0883570000001</v>
      </c>
      <c r="H251" s="5">
        <v>2659.373908</v>
      </c>
      <c r="I251" s="5">
        <v>11959.559477999999</v>
      </c>
      <c r="J251" s="24">
        <v>7.9303866310689362</v>
      </c>
      <c r="K251" s="5">
        <v>11234</v>
      </c>
      <c r="L251" s="5">
        <v>7.25</v>
      </c>
      <c r="M251" s="5"/>
      <c r="N251" s="5"/>
      <c r="O251" s="5"/>
      <c r="P251" s="1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1"/>
    </row>
    <row r="252" spans="1:49" x14ac:dyDescent="0.35">
      <c r="A252" s="33">
        <f t="shared" si="3"/>
        <v>41579</v>
      </c>
      <c r="B252" s="5">
        <v>51.3</v>
      </c>
      <c r="C252" s="5">
        <v>3616049.2</v>
      </c>
      <c r="D252" s="5">
        <v>111841</v>
      </c>
      <c r="E252" s="5">
        <v>5565.91615</v>
      </c>
      <c r="F252" s="5">
        <v>15938.557640999999</v>
      </c>
      <c r="G252" s="5">
        <v>1110.8553010000001</v>
      </c>
      <c r="H252" s="5">
        <v>2701.9873010000001</v>
      </c>
      <c r="I252" s="5">
        <v>11336.482811</v>
      </c>
      <c r="J252" s="24">
        <v>8.0656321043787678</v>
      </c>
      <c r="K252" s="5">
        <v>11977</v>
      </c>
      <c r="L252" s="5">
        <v>7.5</v>
      </c>
      <c r="M252" s="5"/>
      <c r="N252" s="5"/>
      <c r="O252" s="5"/>
      <c r="P252" s="1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1"/>
    </row>
    <row r="253" spans="1:49" x14ac:dyDescent="0.35">
      <c r="A253" s="33">
        <f t="shared" si="3"/>
        <v>41609</v>
      </c>
      <c r="B253" s="5">
        <v>51.1</v>
      </c>
      <c r="C253" s="5">
        <v>3730409.35</v>
      </c>
      <c r="D253" s="5">
        <v>97706</v>
      </c>
      <c r="E253" s="5">
        <v>5280.8501399999996</v>
      </c>
      <c r="F253" s="5">
        <v>16967.798188000001</v>
      </c>
      <c r="G253" s="5">
        <v>1178.9389080000001</v>
      </c>
      <c r="H253" s="5">
        <v>2430.3819370000001</v>
      </c>
      <c r="I253" s="5">
        <v>11846.544136</v>
      </c>
      <c r="J253" s="24">
        <v>8.0799133943509371</v>
      </c>
      <c r="K253" s="5">
        <v>12189</v>
      </c>
      <c r="L253" s="5">
        <v>7.5</v>
      </c>
      <c r="M253" s="5"/>
      <c r="N253" s="5"/>
      <c r="O253" s="5"/>
      <c r="P253" s="1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1"/>
    </row>
    <row r="254" spans="1:49" x14ac:dyDescent="0.35">
      <c r="A254" s="33">
        <f t="shared" si="3"/>
        <v>41640</v>
      </c>
      <c r="B254" s="5">
        <v>50.9</v>
      </c>
      <c r="C254" s="5">
        <v>3652349.28</v>
      </c>
      <c r="D254" s="5">
        <v>103609</v>
      </c>
      <c r="E254" s="5">
        <v>4639.0486899999996</v>
      </c>
      <c r="F254" s="5">
        <v>14472.285647999999</v>
      </c>
      <c r="G254" s="5">
        <v>985.12442899999996</v>
      </c>
      <c r="H254" s="5">
        <v>2629.1188870000001</v>
      </c>
      <c r="I254" s="5">
        <v>11301.984377000001</v>
      </c>
      <c r="J254" s="24">
        <v>8.2195787831513236</v>
      </c>
      <c r="K254" s="5">
        <v>12226</v>
      </c>
      <c r="L254" s="5">
        <v>7.5</v>
      </c>
      <c r="M254" s="5"/>
      <c r="N254" s="5"/>
      <c r="O254" s="5"/>
      <c r="P254" s="1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1"/>
      <c r="AF254" s="5"/>
      <c r="AG254" s="5"/>
      <c r="AH254" s="5"/>
      <c r="AI254" s="5"/>
      <c r="AJ254" s="5"/>
      <c r="AK254" s="5"/>
      <c r="AL254" s="5"/>
      <c r="AM254" s="5"/>
      <c r="AN254" s="1"/>
      <c r="AO254" s="5"/>
      <c r="AP254" s="5"/>
      <c r="AQ254" s="5"/>
      <c r="AR254" s="5"/>
      <c r="AS254" s="5"/>
      <c r="AT254" s="5"/>
      <c r="AU254" s="5"/>
      <c r="AV254" s="5"/>
      <c r="AW254" s="1"/>
    </row>
    <row r="255" spans="1:49" x14ac:dyDescent="0.35">
      <c r="A255" s="33">
        <f t="shared" si="3"/>
        <v>41671</v>
      </c>
      <c r="B255" s="5">
        <v>50.2</v>
      </c>
      <c r="C255" s="5">
        <v>3635060.38</v>
      </c>
      <c r="D255" s="5">
        <v>111824</v>
      </c>
      <c r="E255" s="5">
        <v>4523.223</v>
      </c>
      <c r="F255" s="5">
        <v>14634.090389999999</v>
      </c>
      <c r="G255" s="5">
        <v>898.57917199999997</v>
      </c>
      <c r="H255" s="5">
        <v>2339.5362230000001</v>
      </c>
      <c r="I255" s="5">
        <v>10552.546595</v>
      </c>
      <c r="J255" s="24">
        <v>7.7459333849728891</v>
      </c>
      <c r="K255" s="5">
        <v>11634</v>
      </c>
      <c r="L255" s="5">
        <v>7.5</v>
      </c>
      <c r="M255" s="5"/>
      <c r="N255" s="5"/>
      <c r="O255" s="5"/>
      <c r="P255" s="1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1"/>
      <c r="AF255" s="5"/>
      <c r="AG255" s="5"/>
      <c r="AH255" s="5"/>
      <c r="AI255" s="5"/>
      <c r="AJ255" s="5"/>
      <c r="AK255" s="5"/>
      <c r="AL255" s="5"/>
      <c r="AM255" s="5"/>
      <c r="AN255" s="1"/>
      <c r="AO255" s="5"/>
      <c r="AP255" s="5"/>
      <c r="AQ255" s="5"/>
      <c r="AR255" s="5"/>
      <c r="AS255" s="5"/>
      <c r="AT255" s="5"/>
      <c r="AU255" s="5"/>
      <c r="AV255" s="5"/>
      <c r="AW255" s="1"/>
    </row>
    <row r="256" spans="1:49" x14ac:dyDescent="0.35">
      <c r="A256" s="33">
        <f t="shared" si="3"/>
        <v>41699</v>
      </c>
      <c r="B256" s="5">
        <v>49.8</v>
      </c>
      <c r="C256" s="5">
        <v>3652530.55</v>
      </c>
      <c r="D256" s="5">
        <v>113067</v>
      </c>
      <c r="E256" s="5">
        <v>4913.7715900000003</v>
      </c>
      <c r="F256" s="5">
        <v>15192.634701000001</v>
      </c>
      <c r="G256" s="5">
        <v>1081.9116469999999</v>
      </c>
      <c r="H256" s="5">
        <v>2244.1077749999999</v>
      </c>
      <c r="I256" s="5">
        <v>11197.699989999999</v>
      </c>
      <c r="J256" s="24">
        <v>7.3238893707237294</v>
      </c>
      <c r="K256" s="5">
        <v>11404</v>
      </c>
      <c r="L256" s="5">
        <v>7.5</v>
      </c>
      <c r="M256" s="5"/>
      <c r="N256" s="5"/>
      <c r="O256" s="5"/>
      <c r="P256" s="1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1"/>
      <c r="AF256" s="5"/>
      <c r="AG256" s="5"/>
      <c r="AH256" s="5"/>
      <c r="AI256" s="5"/>
      <c r="AJ256" s="5"/>
      <c r="AK256" s="5"/>
      <c r="AL256" s="5"/>
      <c r="AM256" s="5"/>
      <c r="AN256" s="1"/>
      <c r="AO256" s="5"/>
      <c r="AP256" s="5"/>
      <c r="AQ256" s="5"/>
      <c r="AR256" s="5"/>
      <c r="AS256" s="5"/>
      <c r="AT256" s="5"/>
      <c r="AU256" s="5"/>
      <c r="AV256" s="5"/>
      <c r="AW256" s="1"/>
    </row>
    <row r="257" spans="1:49" x14ac:dyDescent="0.35">
      <c r="A257" s="33">
        <f t="shared" si="3"/>
        <v>41730</v>
      </c>
      <c r="B257" s="5">
        <v>49.8</v>
      </c>
      <c r="C257" s="5">
        <v>3721882.38</v>
      </c>
      <c r="D257" s="5">
        <v>106124</v>
      </c>
      <c r="E257" s="5">
        <v>4521.4855500000003</v>
      </c>
      <c r="F257" s="5">
        <v>14292.472554</v>
      </c>
      <c r="G257" s="5">
        <v>1130.089506</v>
      </c>
      <c r="H257" s="5">
        <v>2671.1130990000001</v>
      </c>
      <c r="I257" s="5">
        <v>12453.773712</v>
      </c>
      <c r="J257" s="24">
        <v>7.2529377769215833</v>
      </c>
      <c r="K257" s="5">
        <v>11532</v>
      </c>
      <c r="L257" s="5">
        <v>7.5</v>
      </c>
      <c r="M257" s="5"/>
      <c r="N257" s="5"/>
      <c r="O257" s="5"/>
      <c r="P257" s="1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1"/>
      <c r="AF257" s="5"/>
      <c r="AG257" s="5"/>
      <c r="AH257" s="5"/>
      <c r="AI257" s="5"/>
      <c r="AJ257" s="5"/>
      <c r="AK257" s="5"/>
      <c r="AL257" s="5"/>
      <c r="AM257" s="5"/>
      <c r="AN257" s="1"/>
      <c r="AO257" s="5"/>
      <c r="AP257" s="5"/>
      <c r="AQ257" s="5"/>
      <c r="AR257" s="5"/>
      <c r="AS257" s="5"/>
      <c r="AT257" s="5"/>
      <c r="AU257" s="5"/>
      <c r="AV257" s="5"/>
      <c r="AW257" s="1"/>
    </row>
    <row r="258" spans="1:49" x14ac:dyDescent="0.35">
      <c r="A258" s="33">
        <f t="shared" si="3"/>
        <v>41760</v>
      </c>
      <c r="B258" s="5">
        <v>50.3</v>
      </c>
      <c r="C258" s="5">
        <v>3780955.28</v>
      </c>
      <c r="D258" s="5">
        <v>96872</v>
      </c>
      <c r="E258" s="5">
        <v>5187.3351400000001</v>
      </c>
      <c r="F258" s="5">
        <v>14823.602661000001</v>
      </c>
      <c r="G258" s="5">
        <v>1045.6582820000001</v>
      </c>
      <c r="H258" s="5">
        <v>2374.990092</v>
      </c>
      <c r="I258" s="5">
        <v>11349.688403</v>
      </c>
      <c r="J258" s="24">
        <v>7.3229407236335549</v>
      </c>
      <c r="K258" s="5">
        <v>11611</v>
      </c>
      <c r="L258" s="5">
        <v>7.5</v>
      </c>
      <c r="M258" s="5"/>
      <c r="N258" s="5"/>
      <c r="O258" s="5"/>
      <c r="P258" s="1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1"/>
      <c r="AF258" s="5"/>
      <c r="AG258" s="5"/>
      <c r="AH258" s="5"/>
      <c r="AI258" s="5"/>
      <c r="AJ258" s="5"/>
      <c r="AK258" s="5"/>
      <c r="AL258" s="5"/>
      <c r="AM258" s="5"/>
      <c r="AN258" s="1"/>
      <c r="AO258" s="5"/>
      <c r="AP258" s="5"/>
      <c r="AQ258" s="5"/>
      <c r="AR258" s="5"/>
      <c r="AS258" s="5"/>
      <c r="AT258" s="5"/>
      <c r="AU258" s="5"/>
      <c r="AV258" s="5"/>
      <c r="AW258" s="1"/>
    </row>
    <row r="259" spans="1:49" x14ac:dyDescent="0.35">
      <c r="A259" s="33">
        <f t="shared" si="3"/>
        <v>41791</v>
      </c>
      <c r="B259" s="5">
        <v>50.7</v>
      </c>
      <c r="C259" s="5">
        <v>3857961.77</v>
      </c>
      <c r="D259" s="5">
        <v>110614</v>
      </c>
      <c r="E259" s="5">
        <v>5158.8516449999997</v>
      </c>
      <c r="F259" s="5">
        <v>15409.451765</v>
      </c>
      <c r="G259" s="5">
        <v>1152.3775189999999</v>
      </c>
      <c r="H259" s="5">
        <v>2597.6074450000001</v>
      </c>
      <c r="I259" s="5">
        <v>11947.757476999999</v>
      </c>
      <c r="J259" s="24">
        <v>6.6965136216422252</v>
      </c>
      <c r="K259" s="5">
        <v>11969</v>
      </c>
      <c r="L259" s="5">
        <v>7.5</v>
      </c>
      <c r="M259" s="5"/>
      <c r="N259" s="5"/>
      <c r="O259" s="5"/>
      <c r="P259" s="1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1"/>
      <c r="AF259" s="5"/>
      <c r="AG259" s="5"/>
      <c r="AH259" s="5"/>
      <c r="AI259" s="5"/>
      <c r="AJ259" s="5"/>
      <c r="AK259" s="5"/>
      <c r="AL259" s="5"/>
      <c r="AM259" s="5"/>
      <c r="AN259" s="1"/>
      <c r="AO259" s="5"/>
      <c r="AP259" s="5"/>
      <c r="AQ259" s="5"/>
      <c r="AR259" s="5"/>
      <c r="AS259" s="5"/>
      <c r="AT259" s="5"/>
      <c r="AU259" s="5"/>
      <c r="AV259" s="5"/>
      <c r="AW259" s="1"/>
    </row>
    <row r="260" spans="1:49" x14ac:dyDescent="0.35">
      <c r="A260" s="33">
        <f t="shared" ref="A260:A323" si="4">DATE(YEAR(A259),MONTH(A259)+1,1)</f>
        <v>41821</v>
      </c>
      <c r="B260" s="5">
        <v>51.4</v>
      </c>
      <c r="C260" s="5">
        <v>3887407.48</v>
      </c>
      <c r="D260" s="5">
        <v>91334</v>
      </c>
      <c r="E260" s="5">
        <v>3755.8315499999999</v>
      </c>
      <c r="F260" s="5">
        <v>14124.129298</v>
      </c>
      <c r="G260" s="5">
        <v>841.18813799999998</v>
      </c>
      <c r="H260" s="5">
        <v>2132.4055579999999</v>
      </c>
      <c r="I260" s="5">
        <v>11108.116539000001</v>
      </c>
      <c r="J260" s="24">
        <v>4.5307443365695672</v>
      </c>
      <c r="K260" s="5">
        <v>11591</v>
      </c>
      <c r="L260" s="5">
        <v>7.5</v>
      </c>
      <c r="M260" s="5"/>
      <c r="N260" s="5"/>
      <c r="O260" s="5"/>
      <c r="P260" s="1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1"/>
      <c r="AF260" s="5"/>
      <c r="AG260" s="5"/>
      <c r="AH260" s="5"/>
      <c r="AI260" s="5"/>
      <c r="AJ260" s="5"/>
      <c r="AK260" s="5"/>
      <c r="AL260" s="5"/>
      <c r="AM260" s="5"/>
      <c r="AN260" s="1"/>
      <c r="AO260" s="5"/>
      <c r="AP260" s="5"/>
      <c r="AQ260" s="5"/>
      <c r="AR260" s="5"/>
      <c r="AS260" s="5"/>
      <c r="AT260" s="5"/>
      <c r="AU260" s="5"/>
      <c r="AV260" s="5"/>
      <c r="AW260" s="1"/>
    </row>
    <row r="261" spans="1:49" x14ac:dyDescent="0.35">
      <c r="A261" s="33">
        <f t="shared" si="4"/>
        <v>41852</v>
      </c>
      <c r="B261" s="5">
        <v>51</v>
      </c>
      <c r="C261" s="5">
        <v>3886519.97</v>
      </c>
      <c r="D261" s="5">
        <v>96652</v>
      </c>
      <c r="E261" s="5">
        <v>4661.8070600000001</v>
      </c>
      <c r="F261" s="5">
        <v>14481.642319</v>
      </c>
      <c r="G261" s="5">
        <v>1165.7819529999999</v>
      </c>
      <c r="H261" s="5">
        <v>2498.3337729999998</v>
      </c>
      <c r="I261" s="5">
        <v>11129.121239</v>
      </c>
      <c r="J261" s="24">
        <v>3.9919428676066802</v>
      </c>
      <c r="K261" s="5">
        <v>11717</v>
      </c>
      <c r="L261" s="5">
        <v>7.5</v>
      </c>
      <c r="M261" s="5"/>
      <c r="N261" s="5"/>
      <c r="O261" s="5"/>
      <c r="P261" s="1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1"/>
      <c r="AF261" s="5"/>
      <c r="AG261" s="5"/>
      <c r="AH261" s="5"/>
      <c r="AI261" s="5"/>
      <c r="AJ261" s="5"/>
      <c r="AK261" s="5"/>
      <c r="AL261" s="5"/>
      <c r="AM261" s="5"/>
      <c r="AN261" s="1"/>
      <c r="AO261" s="5"/>
      <c r="AP261" s="5"/>
      <c r="AQ261" s="5"/>
      <c r="AR261" s="5"/>
      <c r="AS261" s="5"/>
      <c r="AT261" s="5"/>
      <c r="AU261" s="5"/>
      <c r="AV261" s="5"/>
      <c r="AW261" s="1"/>
    </row>
    <row r="262" spans="1:49" x14ac:dyDescent="0.35">
      <c r="A262" s="33">
        <f t="shared" si="4"/>
        <v>41883</v>
      </c>
      <c r="B262" s="5">
        <v>50.7</v>
      </c>
      <c r="C262" s="5">
        <v>4010146.66</v>
      </c>
      <c r="D262" s="5">
        <v>102572</v>
      </c>
      <c r="E262" s="5">
        <v>5632.06376</v>
      </c>
      <c r="F262" s="5">
        <v>15275.846089000001</v>
      </c>
      <c r="G262" s="5">
        <v>1168.7610749999999</v>
      </c>
      <c r="H262" s="5">
        <v>2620.8145159999999</v>
      </c>
      <c r="I262" s="5">
        <v>11756.520718</v>
      </c>
      <c r="J262" s="24">
        <v>4.534189995410717</v>
      </c>
      <c r="K262" s="5">
        <v>12212</v>
      </c>
      <c r="L262" s="5">
        <v>7.5</v>
      </c>
      <c r="M262" s="5"/>
      <c r="N262" s="5"/>
      <c r="O262" s="5"/>
      <c r="P262" s="1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1"/>
      <c r="AF262" s="5"/>
      <c r="AG262" s="5"/>
      <c r="AH262" s="5"/>
      <c r="AI262" s="5"/>
      <c r="AJ262" s="5"/>
      <c r="AK262" s="5"/>
      <c r="AL262" s="5"/>
      <c r="AM262" s="5"/>
      <c r="AN262" s="1"/>
      <c r="AO262" s="5"/>
      <c r="AP262" s="5"/>
      <c r="AQ262" s="5"/>
      <c r="AR262" s="5"/>
      <c r="AS262" s="5"/>
      <c r="AT262" s="5"/>
      <c r="AU262" s="5"/>
      <c r="AV262" s="5"/>
      <c r="AW262" s="1"/>
    </row>
    <row r="263" spans="1:49" x14ac:dyDescent="0.35">
      <c r="A263" s="33">
        <f t="shared" si="4"/>
        <v>41913</v>
      </c>
      <c r="B263" s="5">
        <v>50.8</v>
      </c>
      <c r="C263" s="5">
        <v>4024488.87</v>
      </c>
      <c r="D263" s="5">
        <v>105222</v>
      </c>
      <c r="E263" s="5">
        <v>5758.7619599999998</v>
      </c>
      <c r="F263" s="5">
        <v>15292.75901</v>
      </c>
      <c r="G263" s="5">
        <v>1028.398203</v>
      </c>
      <c r="H263" s="5">
        <v>2718.0627399999998</v>
      </c>
      <c r="I263" s="5">
        <v>11581.533584000001</v>
      </c>
      <c r="J263" s="24">
        <v>4.8282180485570318</v>
      </c>
      <c r="K263" s="5">
        <v>12082</v>
      </c>
      <c r="L263" s="5">
        <v>7.5</v>
      </c>
      <c r="M263" s="5"/>
      <c r="N263" s="5"/>
      <c r="O263" s="5"/>
      <c r="P263" s="1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1"/>
      <c r="AF263" s="5"/>
      <c r="AG263" s="5"/>
      <c r="AH263" s="5"/>
      <c r="AI263" s="5"/>
      <c r="AJ263" s="5"/>
      <c r="AK263" s="5"/>
      <c r="AL263" s="5"/>
      <c r="AM263" s="5"/>
      <c r="AN263" s="1"/>
      <c r="AO263" s="5"/>
      <c r="AP263" s="5"/>
      <c r="AQ263" s="5"/>
      <c r="AR263" s="5"/>
      <c r="AS263" s="5"/>
      <c r="AT263" s="5"/>
      <c r="AU263" s="5"/>
      <c r="AV263" s="5"/>
      <c r="AW263" s="1"/>
    </row>
    <row r="264" spans="1:49" x14ac:dyDescent="0.35">
      <c r="A264" s="33">
        <f t="shared" si="4"/>
        <v>41944</v>
      </c>
      <c r="B264" s="5">
        <v>50.9</v>
      </c>
      <c r="C264" s="5">
        <v>4076669.88</v>
      </c>
      <c r="D264" s="5">
        <v>91327</v>
      </c>
      <c r="E264" s="5">
        <v>5785.6614600000003</v>
      </c>
      <c r="F264" s="5">
        <v>13544.729208999999</v>
      </c>
      <c r="G264" s="5">
        <v>1026.748488</v>
      </c>
      <c r="H264" s="5">
        <v>2277.8502739999999</v>
      </c>
      <c r="I264" s="5">
        <v>10737.009163999999</v>
      </c>
      <c r="J264" s="24">
        <v>6.228848440501233</v>
      </c>
      <c r="K264" s="5">
        <v>12196</v>
      </c>
      <c r="L264" s="5">
        <v>7.75</v>
      </c>
      <c r="M264" s="5"/>
      <c r="N264" s="5"/>
      <c r="O264" s="5"/>
      <c r="P264" s="1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1"/>
      <c r="AF264" s="5"/>
      <c r="AG264" s="5"/>
      <c r="AH264" s="5"/>
      <c r="AI264" s="5"/>
      <c r="AJ264" s="5"/>
      <c r="AK264" s="5"/>
      <c r="AL264" s="5"/>
      <c r="AM264" s="5"/>
      <c r="AN264" s="1"/>
      <c r="AO264" s="5"/>
      <c r="AP264" s="5"/>
      <c r="AQ264" s="5"/>
      <c r="AR264" s="5"/>
      <c r="AS264" s="5"/>
      <c r="AT264" s="5"/>
      <c r="AU264" s="5"/>
      <c r="AV264" s="5"/>
      <c r="AW264" s="1"/>
    </row>
    <row r="265" spans="1:49" x14ac:dyDescent="0.35">
      <c r="A265" s="33">
        <f t="shared" si="4"/>
        <v>41974</v>
      </c>
      <c r="B265" s="5">
        <v>50.6</v>
      </c>
      <c r="C265" s="5">
        <v>4173326.5</v>
      </c>
      <c r="D265" s="5">
        <v>78802</v>
      </c>
      <c r="E265" s="5">
        <v>5371.65816</v>
      </c>
      <c r="F265" s="5">
        <v>14436.33966</v>
      </c>
      <c r="G265" s="5">
        <v>1142.6282819999999</v>
      </c>
      <c r="H265" s="5">
        <v>2199.0156360000001</v>
      </c>
      <c r="I265" s="5">
        <v>11092.862095</v>
      </c>
      <c r="J265" s="24">
        <v>8.3591331269349869</v>
      </c>
      <c r="K265" s="5">
        <v>12440</v>
      </c>
      <c r="L265" s="5">
        <v>7.75</v>
      </c>
      <c r="M265" s="5"/>
      <c r="N265" s="5"/>
      <c r="O265" s="5"/>
      <c r="P265" s="1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1"/>
      <c r="AF265" s="5"/>
      <c r="AG265" s="5"/>
      <c r="AH265" s="5"/>
      <c r="AI265" s="5"/>
      <c r="AJ265" s="5"/>
      <c r="AK265" s="5"/>
      <c r="AL265" s="5"/>
      <c r="AM265" s="5"/>
      <c r="AN265" s="1"/>
      <c r="AO265" s="5"/>
      <c r="AP265" s="5"/>
      <c r="AQ265" s="5"/>
      <c r="AR265" s="5"/>
      <c r="AS265" s="5"/>
      <c r="AT265" s="5"/>
      <c r="AU265" s="5"/>
      <c r="AV265" s="5"/>
      <c r="AW265" s="1"/>
    </row>
    <row r="266" spans="1:49" x14ac:dyDescent="0.35">
      <c r="A266" s="33">
        <f t="shared" si="4"/>
        <v>42005</v>
      </c>
      <c r="B266" s="5">
        <v>50.8</v>
      </c>
      <c r="C266" s="5">
        <v>4174825.91</v>
      </c>
      <c r="D266" s="5">
        <v>94194</v>
      </c>
      <c r="E266" s="5">
        <v>4861.9278780000004</v>
      </c>
      <c r="F266" s="5">
        <v>13244.87679753</v>
      </c>
      <c r="G266" s="5">
        <v>786.32</v>
      </c>
      <c r="H266" s="5">
        <v>2208.06</v>
      </c>
      <c r="I266" s="5">
        <v>9618.27</v>
      </c>
      <c r="J266" s="24">
        <v>6.9555815839264845</v>
      </c>
      <c r="K266" s="5">
        <v>12625</v>
      </c>
      <c r="L266" s="5">
        <v>7.75</v>
      </c>
      <c r="M266" s="5"/>
      <c r="N266" s="5"/>
      <c r="O266" s="5"/>
      <c r="P266" s="1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1"/>
      <c r="AF266" s="5"/>
      <c r="AG266" s="5"/>
      <c r="AH266" s="5"/>
      <c r="AI266" s="5"/>
      <c r="AJ266" s="5"/>
      <c r="AK266" s="5"/>
      <c r="AL266" s="5"/>
      <c r="AM266" s="5"/>
      <c r="AN266" s="1"/>
      <c r="AO266" s="5"/>
      <c r="AP266" s="5"/>
      <c r="AQ266" s="5"/>
      <c r="AR266" s="5"/>
      <c r="AS266" s="5"/>
      <c r="AT266" s="5"/>
      <c r="AU266" s="5"/>
      <c r="AV266" s="5"/>
      <c r="AW266" s="1"/>
    </row>
    <row r="267" spans="1:49" x14ac:dyDescent="0.35">
      <c r="A267" s="33">
        <f t="shared" si="4"/>
        <v>42036</v>
      </c>
      <c r="B267" s="5">
        <v>51</v>
      </c>
      <c r="C267" s="5">
        <v>4218122.76</v>
      </c>
      <c r="D267" s="5">
        <v>88740</v>
      </c>
      <c r="E267" s="5">
        <v>4306.6669199999997</v>
      </c>
      <c r="F267" s="5">
        <v>12172.80286267</v>
      </c>
      <c r="G267" s="5">
        <v>823.76</v>
      </c>
      <c r="H267" s="5">
        <v>1923.49</v>
      </c>
      <c r="I267" s="5">
        <v>8762.85</v>
      </c>
      <c r="J267" s="24">
        <v>6.2904385334292021</v>
      </c>
      <c r="K267" s="5">
        <v>12863</v>
      </c>
      <c r="L267" s="5">
        <v>7.5</v>
      </c>
      <c r="M267" s="5"/>
      <c r="N267" s="5"/>
      <c r="O267" s="5"/>
      <c r="P267" s="1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1"/>
      <c r="AF267" s="5"/>
      <c r="AG267" s="5"/>
      <c r="AH267" s="5"/>
      <c r="AI267" s="5"/>
      <c r="AJ267" s="5"/>
      <c r="AK267" s="5"/>
      <c r="AL267" s="5"/>
      <c r="AM267" s="5"/>
      <c r="AN267" s="1"/>
      <c r="AO267" s="5"/>
      <c r="AP267" s="5"/>
      <c r="AQ267" s="5"/>
      <c r="AR267" s="5"/>
      <c r="AS267" s="5"/>
      <c r="AT267" s="5"/>
      <c r="AU267" s="5"/>
      <c r="AV267" s="5"/>
      <c r="AW267" s="1"/>
    </row>
    <row r="268" spans="1:49" x14ac:dyDescent="0.35">
      <c r="A268" s="33">
        <f t="shared" si="4"/>
        <v>42064</v>
      </c>
      <c r="B268" s="5">
        <v>50</v>
      </c>
      <c r="C268" s="5">
        <v>4246361.1900000004</v>
      </c>
      <c r="D268" s="5">
        <v>99410</v>
      </c>
      <c r="E268" s="5">
        <v>4670.8677470000002</v>
      </c>
      <c r="F268" s="5">
        <v>13634.041965140001</v>
      </c>
      <c r="G268" s="5">
        <v>930.32</v>
      </c>
      <c r="H268" s="5">
        <v>2347.29</v>
      </c>
      <c r="I268" s="5">
        <v>9331.08</v>
      </c>
      <c r="J268" s="24">
        <v>6.3841249887761391</v>
      </c>
      <c r="K268" s="5">
        <v>13084</v>
      </c>
      <c r="L268" s="5">
        <v>7.5</v>
      </c>
      <c r="M268" s="5"/>
      <c r="N268" s="5"/>
      <c r="O268" s="5"/>
      <c r="P268" s="1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1"/>
      <c r="AF268" s="5"/>
      <c r="AG268" s="5"/>
      <c r="AH268" s="5"/>
      <c r="AI268" s="5"/>
      <c r="AJ268" s="5"/>
      <c r="AK268" s="5"/>
      <c r="AL268" s="5"/>
      <c r="AM268" s="5"/>
      <c r="AN268" s="1"/>
      <c r="AO268" s="5"/>
      <c r="AP268" s="5"/>
      <c r="AQ268" s="5"/>
      <c r="AR268" s="5"/>
      <c r="AS268" s="5"/>
      <c r="AT268" s="5"/>
      <c r="AU268" s="5"/>
      <c r="AV268" s="5"/>
      <c r="AW268" s="1"/>
    </row>
    <row r="269" spans="1:49" x14ac:dyDescent="0.35">
      <c r="A269" s="33">
        <f t="shared" si="4"/>
        <v>42095</v>
      </c>
      <c r="B269" s="5">
        <v>49.6</v>
      </c>
      <c r="C269" s="5">
        <v>4275711.1100000003</v>
      </c>
      <c r="D269" s="5">
        <v>81600</v>
      </c>
      <c r="E269" s="5">
        <v>4537.2371924999998</v>
      </c>
      <c r="F269" s="5">
        <v>13104.59680438</v>
      </c>
      <c r="G269" s="5">
        <v>910.38</v>
      </c>
      <c r="H269" s="5">
        <v>2035.03</v>
      </c>
      <c r="I269" s="5">
        <v>9680.86</v>
      </c>
      <c r="J269" s="24">
        <v>6.7894027840143716</v>
      </c>
      <c r="K269" s="5">
        <v>12937</v>
      </c>
      <c r="L269" s="5">
        <v>7.5</v>
      </c>
      <c r="M269" s="5"/>
      <c r="N269" s="5"/>
      <c r="O269" s="5"/>
      <c r="P269" s="1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1"/>
      <c r="AF269" s="5"/>
      <c r="AG269" s="5"/>
      <c r="AH269" s="5"/>
      <c r="AI269" s="5"/>
      <c r="AJ269" s="5"/>
      <c r="AK269" s="5"/>
      <c r="AL269" s="5"/>
      <c r="AM269" s="5"/>
      <c r="AN269" s="1"/>
      <c r="AO269" s="5"/>
      <c r="AP269" s="5"/>
      <c r="AQ269" s="5"/>
      <c r="AR269" s="5"/>
      <c r="AS269" s="5"/>
      <c r="AT269" s="5"/>
      <c r="AU269" s="5"/>
      <c r="AV269" s="5"/>
      <c r="AW269" s="1"/>
    </row>
    <row r="270" spans="1:49" x14ac:dyDescent="0.35">
      <c r="A270" s="33">
        <f t="shared" si="4"/>
        <v>42125</v>
      </c>
      <c r="B270" s="5">
        <v>49.8</v>
      </c>
      <c r="C270" s="5">
        <v>4288369.26</v>
      </c>
      <c r="D270" s="5">
        <v>79375</v>
      </c>
      <c r="E270" s="5">
        <v>4834.2654899999998</v>
      </c>
      <c r="F270" s="5">
        <v>12754.659043690001</v>
      </c>
      <c r="G270" s="5">
        <v>944.2</v>
      </c>
      <c r="H270" s="5">
        <v>1949.41</v>
      </c>
      <c r="I270" s="5">
        <v>8719.98</v>
      </c>
      <c r="J270" s="24">
        <v>7.146059356227048</v>
      </c>
      <c r="K270" s="5">
        <v>13211</v>
      </c>
      <c r="L270" s="5">
        <v>7.5</v>
      </c>
      <c r="M270" s="5"/>
      <c r="N270" s="5"/>
      <c r="O270" s="5"/>
      <c r="P270" s="1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1"/>
      <c r="AF270" s="5"/>
      <c r="AG270" s="5"/>
      <c r="AH270" s="5"/>
      <c r="AI270" s="5"/>
      <c r="AJ270" s="5"/>
      <c r="AK270" s="5"/>
      <c r="AL270" s="5"/>
      <c r="AM270" s="5"/>
      <c r="AN270" s="1"/>
      <c r="AO270" s="5"/>
      <c r="AP270" s="5"/>
      <c r="AQ270" s="5"/>
      <c r="AR270" s="5"/>
      <c r="AS270" s="5"/>
      <c r="AT270" s="5"/>
      <c r="AU270" s="5"/>
      <c r="AV270" s="5"/>
      <c r="AW270" s="1"/>
    </row>
    <row r="271" spans="1:49" x14ac:dyDescent="0.35">
      <c r="A271" s="33">
        <f t="shared" si="4"/>
        <v>42156</v>
      </c>
      <c r="B271" s="5">
        <v>49.9</v>
      </c>
      <c r="C271" s="5">
        <v>4358801.51</v>
      </c>
      <c r="D271" s="5">
        <v>82172</v>
      </c>
      <c r="E271" s="5">
        <v>4907.7205359999998</v>
      </c>
      <c r="F271" s="5">
        <v>13514.101879059999</v>
      </c>
      <c r="G271" s="5">
        <v>1027.8499999999999</v>
      </c>
      <c r="H271" s="5">
        <v>2176.7199999999998</v>
      </c>
      <c r="I271" s="5">
        <v>9773.52</v>
      </c>
      <c r="J271" s="24">
        <v>7.2582805106686976</v>
      </c>
      <c r="K271" s="5">
        <v>13332</v>
      </c>
      <c r="L271" s="5">
        <v>5.65</v>
      </c>
      <c r="M271" s="5"/>
      <c r="N271" s="5"/>
      <c r="O271" s="5"/>
      <c r="P271" s="1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1"/>
      <c r="AF271" s="5"/>
      <c r="AG271" s="5"/>
      <c r="AH271" s="5"/>
      <c r="AI271" s="5"/>
      <c r="AJ271" s="5"/>
      <c r="AK271" s="5"/>
      <c r="AL271" s="5"/>
      <c r="AM271" s="5"/>
      <c r="AN271" s="1"/>
      <c r="AO271" s="5"/>
      <c r="AP271" s="5"/>
      <c r="AQ271" s="5"/>
      <c r="AR271" s="5"/>
      <c r="AS271" s="5"/>
      <c r="AT271" s="5"/>
      <c r="AU271" s="5"/>
      <c r="AV271" s="5"/>
      <c r="AW271" s="1"/>
    </row>
    <row r="272" spans="1:49" x14ac:dyDescent="0.35">
      <c r="A272" s="33">
        <f t="shared" si="4"/>
        <v>42186</v>
      </c>
      <c r="B272" s="5">
        <v>49.1</v>
      </c>
      <c r="C272" s="5">
        <v>4373208.0999999996</v>
      </c>
      <c r="D272" s="5">
        <v>55615</v>
      </c>
      <c r="E272" s="5">
        <v>3416.9343290000002</v>
      </c>
      <c r="F272" s="5">
        <v>11465.779764409999</v>
      </c>
      <c r="G272" s="5">
        <v>705.63</v>
      </c>
      <c r="H272" s="5">
        <v>1661.26</v>
      </c>
      <c r="I272" s="5">
        <v>7714.98</v>
      </c>
      <c r="J272" s="24">
        <v>7.2622733303847937</v>
      </c>
      <c r="K272" s="5">
        <v>13481</v>
      </c>
      <c r="L272" s="5">
        <v>5.65</v>
      </c>
      <c r="M272" s="5"/>
      <c r="N272" s="5"/>
      <c r="O272" s="5"/>
      <c r="P272" s="1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1"/>
      <c r="AF272" s="5"/>
      <c r="AG272" s="5"/>
      <c r="AH272" s="5"/>
      <c r="AI272" s="5"/>
      <c r="AJ272" s="5"/>
      <c r="AK272" s="5"/>
      <c r="AL272" s="5"/>
      <c r="AM272" s="5"/>
      <c r="AN272" s="1"/>
      <c r="AO272" s="5"/>
      <c r="AP272" s="5"/>
      <c r="AQ272" s="5"/>
      <c r="AR272" s="5"/>
      <c r="AS272" s="5"/>
      <c r="AT272" s="5"/>
      <c r="AU272" s="5"/>
      <c r="AV272" s="5"/>
      <c r="AW272" s="1"/>
    </row>
    <row r="273" spans="1:49" x14ac:dyDescent="0.35">
      <c r="A273" s="33">
        <f t="shared" si="4"/>
        <v>42217</v>
      </c>
      <c r="B273" s="5">
        <v>48.6</v>
      </c>
      <c r="C273" s="5">
        <v>4404085.03</v>
      </c>
      <c r="D273" s="5">
        <v>90537</v>
      </c>
      <c r="E273" s="5">
        <v>5371.7320380000001</v>
      </c>
      <c r="F273" s="5">
        <v>12726.037506729999</v>
      </c>
      <c r="G273" s="5">
        <v>1080.0899999999999</v>
      </c>
      <c r="H273" s="5">
        <v>2044.01</v>
      </c>
      <c r="I273" s="5">
        <v>9275.15</v>
      </c>
      <c r="J273" s="24">
        <v>7.1755590773023261</v>
      </c>
      <c r="K273" s="5">
        <v>14027</v>
      </c>
      <c r="L273" s="5">
        <v>5.75</v>
      </c>
      <c r="M273" s="5"/>
      <c r="N273" s="5"/>
      <c r="O273" s="5"/>
      <c r="P273" s="1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1"/>
      <c r="AF273" s="5"/>
      <c r="AG273" s="5"/>
      <c r="AH273" s="5"/>
      <c r="AI273" s="5"/>
      <c r="AJ273" s="5"/>
      <c r="AK273" s="5"/>
      <c r="AL273" s="5"/>
      <c r="AM273" s="5"/>
      <c r="AN273" s="1"/>
      <c r="AO273" s="5"/>
      <c r="AP273" s="5"/>
      <c r="AQ273" s="5"/>
      <c r="AR273" s="5"/>
      <c r="AS273" s="5"/>
      <c r="AT273" s="5"/>
      <c r="AU273" s="5"/>
      <c r="AV273" s="5"/>
      <c r="AW273" s="1"/>
    </row>
    <row r="274" spans="1:49" x14ac:dyDescent="0.35">
      <c r="A274" s="33">
        <f t="shared" si="4"/>
        <v>42248</v>
      </c>
      <c r="B274" s="5">
        <v>48.5</v>
      </c>
      <c r="C274" s="5">
        <v>4508603.17</v>
      </c>
      <c r="D274" s="5">
        <v>93038</v>
      </c>
      <c r="E274" s="5">
        <v>5675.6406299999999</v>
      </c>
      <c r="F274" s="5">
        <v>12588.3593707</v>
      </c>
      <c r="G274" s="5">
        <v>823.12</v>
      </c>
      <c r="H274" s="5">
        <v>2043.56</v>
      </c>
      <c r="I274" s="5">
        <v>8691.92</v>
      </c>
      <c r="J274" s="24">
        <v>6.8311528668013102</v>
      </c>
      <c r="K274" s="5">
        <v>14657</v>
      </c>
      <c r="L274" s="5">
        <v>6.25</v>
      </c>
      <c r="M274" s="5"/>
      <c r="N274" s="5"/>
      <c r="O274" s="5"/>
      <c r="P274" s="1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1"/>
      <c r="AF274" s="5"/>
      <c r="AG274" s="5"/>
      <c r="AH274" s="5"/>
      <c r="AI274" s="5"/>
      <c r="AJ274" s="5"/>
      <c r="AK274" s="5"/>
      <c r="AL274" s="5"/>
      <c r="AM274" s="5"/>
      <c r="AN274" s="1"/>
      <c r="AO274" s="5"/>
      <c r="AP274" s="5"/>
      <c r="AQ274" s="5"/>
      <c r="AR274" s="5"/>
      <c r="AS274" s="5"/>
      <c r="AT274" s="5"/>
      <c r="AU274" s="5"/>
      <c r="AV274" s="5"/>
      <c r="AW274" s="1"/>
    </row>
    <row r="275" spans="1:49" x14ac:dyDescent="0.35">
      <c r="A275" s="33">
        <f t="shared" si="4"/>
        <v>42278</v>
      </c>
      <c r="B275" s="5">
        <v>49</v>
      </c>
      <c r="C275" s="5">
        <v>4443078.08</v>
      </c>
      <c r="D275" s="5">
        <v>88408</v>
      </c>
      <c r="E275" s="5">
        <v>6348.4469939999999</v>
      </c>
      <c r="F275" s="5">
        <v>12121.740572299999</v>
      </c>
      <c r="G275" s="5">
        <v>773.58</v>
      </c>
      <c r="H275" s="5">
        <v>2072.64</v>
      </c>
      <c r="I275" s="5">
        <v>8262.7000000000007</v>
      </c>
      <c r="J275" s="24">
        <v>6.2489075336479436</v>
      </c>
      <c r="K275" s="5">
        <v>13639</v>
      </c>
      <c r="L275" s="5">
        <v>6.25</v>
      </c>
      <c r="M275" s="5"/>
      <c r="N275" s="5"/>
      <c r="O275" s="5"/>
      <c r="P275" s="1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1"/>
      <c r="AF275" s="5"/>
      <c r="AG275" s="5"/>
      <c r="AH275" s="5"/>
      <c r="AI275" s="5"/>
      <c r="AJ275" s="5"/>
      <c r="AK275" s="5"/>
      <c r="AL275" s="5"/>
      <c r="AM275" s="5"/>
      <c r="AN275" s="1"/>
      <c r="AO275" s="5"/>
      <c r="AP275" s="5"/>
      <c r="AQ275" s="5"/>
      <c r="AR275" s="5"/>
      <c r="AS275" s="5"/>
      <c r="AT275" s="5"/>
      <c r="AU275" s="5"/>
      <c r="AV275" s="5"/>
      <c r="AW275" s="1"/>
    </row>
    <row r="276" spans="1:49" x14ac:dyDescent="0.35">
      <c r="A276" s="33">
        <f t="shared" si="4"/>
        <v>42309</v>
      </c>
      <c r="B276" s="5">
        <v>49.2</v>
      </c>
      <c r="C276" s="5">
        <v>4452324.6500000004</v>
      </c>
      <c r="D276" s="5">
        <v>86938</v>
      </c>
      <c r="E276" s="5">
        <v>6061.2058209999996</v>
      </c>
      <c r="F276" s="5">
        <v>11122.182554290001</v>
      </c>
      <c r="G276" s="5">
        <v>966.64</v>
      </c>
      <c r="H276" s="5">
        <v>2028.41</v>
      </c>
      <c r="I276" s="5">
        <v>8524.42</v>
      </c>
      <c r="J276" s="24">
        <v>4.890649216462875</v>
      </c>
      <c r="K276" s="5">
        <v>13840</v>
      </c>
      <c r="L276" s="5">
        <v>6.25</v>
      </c>
      <c r="M276" s="5"/>
      <c r="N276" s="5"/>
      <c r="O276" s="5"/>
      <c r="P276" s="1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1"/>
      <c r="AF276" s="5"/>
      <c r="AG276" s="5"/>
      <c r="AH276" s="5"/>
      <c r="AI276" s="5"/>
      <c r="AJ276" s="5"/>
      <c r="AK276" s="5"/>
      <c r="AL276" s="5"/>
      <c r="AM276" s="5"/>
      <c r="AN276" s="1"/>
      <c r="AO276" s="5"/>
      <c r="AP276" s="5"/>
      <c r="AQ276" s="5"/>
      <c r="AR276" s="5"/>
      <c r="AS276" s="5"/>
      <c r="AT276" s="5"/>
      <c r="AU276" s="5"/>
      <c r="AV276" s="5"/>
      <c r="AW276" s="1"/>
    </row>
    <row r="277" spans="1:49" x14ac:dyDescent="0.35">
      <c r="A277" s="33">
        <f t="shared" si="4"/>
        <v>42339</v>
      </c>
      <c r="B277" s="5">
        <v>49</v>
      </c>
      <c r="C277" s="5">
        <v>4548800.2699999996</v>
      </c>
      <c r="D277" s="5">
        <v>73264</v>
      </c>
      <c r="E277" s="5">
        <v>5452.2087970000002</v>
      </c>
      <c r="F277" s="5">
        <v>11917.11238167</v>
      </c>
      <c r="G277" s="5">
        <v>1104.6199999999999</v>
      </c>
      <c r="H277" s="5">
        <v>2247.39</v>
      </c>
      <c r="I277" s="5">
        <v>8725.2900000000009</v>
      </c>
      <c r="J277" s="24">
        <v>3.3529411764705896</v>
      </c>
      <c r="K277" s="5">
        <v>13795</v>
      </c>
      <c r="L277" s="5">
        <v>6.25</v>
      </c>
      <c r="M277" s="5"/>
      <c r="N277" s="5"/>
      <c r="O277" s="5"/>
      <c r="P277" s="1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1"/>
      <c r="AF277" s="5"/>
      <c r="AG277" s="5"/>
      <c r="AH277" s="5"/>
      <c r="AI277" s="5"/>
      <c r="AJ277" s="5"/>
      <c r="AK277" s="5"/>
      <c r="AL277" s="5"/>
      <c r="AM277" s="5"/>
      <c r="AN277" s="1"/>
      <c r="AO277" s="5"/>
      <c r="AP277" s="5"/>
      <c r="AQ277" s="5"/>
      <c r="AR277" s="5"/>
      <c r="AS277" s="5"/>
      <c r="AT277" s="5"/>
      <c r="AU277" s="5"/>
      <c r="AV277" s="5"/>
      <c r="AW277" s="1"/>
    </row>
    <row r="278" spans="1:49" x14ac:dyDescent="0.35">
      <c r="A278" s="33">
        <f t="shared" si="4"/>
        <v>42370</v>
      </c>
      <c r="B278" s="5">
        <v>49.4</v>
      </c>
      <c r="C278" s="5">
        <v>4498361.28</v>
      </c>
      <c r="D278" s="5">
        <v>85002</v>
      </c>
      <c r="E278" s="5">
        <v>5213.6781799999999</v>
      </c>
      <c r="F278" s="5">
        <v>10581.88383798</v>
      </c>
      <c r="G278" s="5">
        <v>1160.81</v>
      </c>
      <c r="H278" s="5">
        <v>1809.42</v>
      </c>
      <c r="I278" s="5">
        <v>7496.77</v>
      </c>
      <c r="J278" s="24">
        <v>4.1361300648639592</v>
      </c>
      <c r="K278" s="5">
        <v>13846</v>
      </c>
      <c r="L278" s="5">
        <v>5.95</v>
      </c>
      <c r="M278" s="5"/>
      <c r="N278" s="5"/>
      <c r="O278" s="5"/>
      <c r="P278" s="1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1"/>
      <c r="AF278" s="5"/>
      <c r="AG278" s="5"/>
      <c r="AH278" s="1"/>
      <c r="AI278" s="5"/>
      <c r="AJ278" s="5"/>
      <c r="AK278" s="5"/>
      <c r="AL278" s="5"/>
      <c r="AM278" s="5"/>
      <c r="AN278" s="1"/>
      <c r="AO278" s="5"/>
      <c r="AP278" s="5"/>
      <c r="AQ278" s="5"/>
      <c r="AR278" s="5"/>
      <c r="AS278" s="5"/>
      <c r="AT278" s="5"/>
      <c r="AU278" s="5"/>
      <c r="AV278" s="5"/>
      <c r="AW278" s="1"/>
    </row>
    <row r="279" spans="1:49" x14ac:dyDescent="0.35">
      <c r="A279" s="33">
        <f t="shared" si="4"/>
        <v>42401</v>
      </c>
      <c r="B279" s="5">
        <v>48.9</v>
      </c>
      <c r="C279" s="5">
        <v>4521951.2</v>
      </c>
      <c r="D279" s="5">
        <v>88208</v>
      </c>
      <c r="E279" s="5">
        <v>4450.9589409999999</v>
      </c>
      <c r="F279" s="5">
        <v>11316.73418851</v>
      </c>
      <c r="G279" s="5">
        <v>1005.19</v>
      </c>
      <c r="H279" s="5">
        <v>1793.96</v>
      </c>
      <c r="I279" s="5">
        <v>7376.48</v>
      </c>
      <c r="J279" s="24">
        <v>4.4217111937774858</v>
      </c>
      <c r="K279" s="5">
        <v>13395</v>
      </c>
      <c r="L279" s="5">
        <v>5.7</v>
      </c>
      <c r="M279" s="5"/>
      <c r="N279" s="5"/>
      <c r="O279" s="5"/>
      <c r="P279" s="1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1"/>
      <c r="AF279" s="5"/>
      <c r="AG279" s="5"/>
      <c r="AH279" s="1"/>
      <c r="AI279" s="5"/>
      <c r="AJ279" s="5"/>
      <c r="AK279" s="5"/>
      <c r="AL279" s="5"/>
      <c r="AM279" s="5"/>
      <c r="AN279" s="1"/>
      <c r="AO279" s="5"/>
      <c r="AP279" s="5"/>
      <c r="AQ279" s="5"/>
      <c r="AR279" s="5"/>
      <c r="AS279" s="5"/>
      <c r="AT279" s="5"/>
      <c r="AU279" s="5"/>
      <c r="AV279" s="5"/>
      <c r="AW279" s="1"/>
    </row>
    <row r="280" spans="1:49" x14ac:dyDescent="0.35">
      <c r="A280" s="33">
        <f t="shared" si="4"/>
        <v>42430</v>
      </c>
      <c r="B280" s="5">
        <v>50.2</v>
      </c>
      <c r="C280" s="5">
        <v>4561872.5199999996</v>
      </c>
      <c r="D280" s="5">
        <v>94092</v>
      </c>
      <c r="E280" s="5">
        <v>4766.6289120000001</v>
      </c>
      <c r="F280" s="5">
        <v>11812.12747793</v>
      </c>
      <c r="G280" s="5">
        <v>986.8</v>
      </c>
      <c r="H280" s="5">
        <v>1700</v>
      </c>
      <c r="I280" s="5">
        <v>8614.9</v>
      </c>
      <c r="J280" s="24">
        <v>4.4480081026333567</v>
      </c>
      <c r="K280" s="5">
        <v>13276</v>
      </c>
      <c r="L280" s="5">
        <v>5.5</v>
      </c>
      <c r="M280" s="5"/>
      <c r="N280" s="5"/>
      <c r="O280" s="5"/>
      <c r="P280" s="1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1"/>
      <c r="AF280" s="5"/>
      <c r="AG280" s="5"/>
      <c r="AH280" s="1"/>
      <c r="AI280" s="5"/>
      <c r="AJ280" s="5"/>
      <c r="AK280" s="5"/>
      <c r="AL280" s="5"/>
      <c r="AM280" s="5"/>
      <c r="AN280" s="1"/>
      <c r="AO280" s="5"/>
      <c r="AP280" s="5"/>
      <c r="AQ280" s="5"/>
      <c r="AR280" s="5"/>
      <c r="AS280" s="5"/>
      <c r="AT280" s="5"/>
      <c r="AU280" s="5"/>
      <c r="AV280" s="5"/>
      <c r="AW280" s="1"/>
    </row>
    <row r="281" spans="1:49" x14ac:dyDescent="0.35">
      <c r="A281" s="33">
        <f t="shared" si="4"/>
        <v>42461</v>
      </c>
      <c r="B281" s="5">
        <v>49.6</v>
      </c>
      <c r="C281" s="5">
        <v>4581877.87</v>
      </c>
      <c r="D281" s="5">
        <v>84770</v>
      </c>
      <c r="E281" s="5">
        <v>4561.357395</v>
      </c>
      <c r="F281" s="5">
        <v>11689.74585103</v>
      </c>
      <c r="G281" s="5">
        <v>865.5</v>
      </c>
      <c r="H281" s="5">
        <v>1770.5</v>
      </c>
      <c r="I281" s="5">
        <v>8177.6</v>
      </c>
      <c r="J281" s="24">
        <v>3.5993608611554899</v>
      </c>
      <c r="K281" s="5">
        <v>13204</v>
      </c>
      <c r="L281" s="5">
        <v>5.5</v>
      </c>
      <c r="M281" s="5"/>
      <c r="N281" s="5"/>
      <c r="O281" s="5"/>
      <c r="P281" s="1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1"/>
      <c r="AF281" s="5"/>
      <c r="AG281" s="5"/>
      <c r="AH281" s="1"/>
      <c r="AI281" s="5"/>
      <c r="AJ281" s="5"/>
      <c r="AK281" s="5"/>
      <c r="AL281" s="1"/>
      <c r="AM281" s="5"/>
      <c r="AN281" s="1"/>
      <c r="AO281" s="5"/>
      <c r="AP281" s="5"/>
      <c r="AQ281" s="5"/>
      <c r="AR281" s="5"/>
      <c r="AS281" s="5"/>
      <c r="AT281" s="5"/>
      <c r="AU281" s="5"/>
      <c r="AV281" s="5"/>
      <c r="AW281" s="1"/>
    </row>
    <row r="282" spans="1:49" x14ac:dyDescent="0.35">
      <c r="A282" s="33">
        <f t="shared" si="4"/>
        <v>42491</v>
      </c>
      <c r="B282" s="5">
        <v>49.6</v>
      </c>
      <c r="C282" s="5">
        <v>4614061.82</v>
      </c>
      <c r="D282" s="5">
        <v>88567</v>
      </c>
      <c r="E282" s="5">
        <v>5133.863327</v>
      </c>
      <c r="F282" s="5">
        <v>11517.40912588</v>
      </c>
      <c r="G282" s="5">
        <v>999.3</v>
      </c>
      <c r="H282" s="5">
        <v>1644.6</v>
      </c>
      <c r="I282" s="5">
        <v>8496.7999999999993</v>
      </c>
      <c r="J282" s="24">
        <v>3.3305439330543964</v>
      </c>
      <c r="K282" s="5">
        <v>13615</v>
      </c>
      <c r="L282" s="5">
        <v>5.5</v>
      </c>
      <c r="M282" s="5"/>
      <c r="N282" s="5"/>
      <c r="O282" s="5"/>
      <c r="P282" s="1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1"/>
      <c r="AF282" s="5"/>
      <c r="AG282" s="5"/>
      <c r="AH282" s="1"/>
      <c r="AI282" s="5"/>
      <c r="AJ282" s="5"/>
      <c r="AK282" s="5"/>
      <c r="AL282" s="1"/>
      <c r="AM282" s="5"/>
      <c r="AN282" s="1"/>
      <c r="AO282" s="5"/>
      <c r="AP282" s="5"/>
      <c r="AQ282" s="5"/>
      <c r="AR282" s="5"/>
      <c r="AS282" s="5"/>
      <c r="AT282" s="5"/>
      <c r="AU282" s="5"/>
      <c r="AV282" s="5"/>
      <c r="AW282" s="1"/>
    </row>
    <row r="283" spans="1:49" x14ac:dyDescent="0.35">
      <c r="A283" s="33">
        <f t="shared" si="4"/>
        <v>42522</v>
      </c>
      <c r="B283" s="5">
        <v>49.3</v>
      </c>
      <c r="C283" s="5">
        <v>4737451.2300000004</v>
      </c>
      <c r="D283" s="5">
        <v>91488</v>
      </c>
      <c r="E283" s="5">
        <v>5113.6143842000001</v>
      </c>
      <c r="F283" s="5">
        <v>13206.12276522</v>
      </c>
      <c r="G283" s="5">
        <v>1141.5999999999999</v>
      </c>
      <c r="H283" s="5">
        <v>1996.5</v>
      </c>
      <c r="I283" s="5">
        <v>8957.1</v>
      </c>
      <c r="J283" s="24">
        <v>3.4543033128017346</v>
      </c>
      <c r="K283" s="5">
        <v>13180</v>
      </c>
      <c r="L283" s="5">
        <v>5.25</v>
      </c>
      <c r="M283" s="5"/>
      <c r="N283" s="5"/>
      <c r="O283" s="5"/>
      <c r="P283" s="1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1"/>
      <c r="AF283" s="5"/>
      <c r="AG283" s="5"/>
      <c r="AH283" s="1"/>
      <c r="AI283" s="5"/>
      <c r="AJ283" s="5"/>
      <c r="AK283" s="5"/>
      <c r="AL283" s="1"/>
      <c r="AM283" s="5"/>
      <c r="AN283" s="1"/>
      <c r="AO283" s="5"/>
      <c r="AP283" s="5"/>
      <c r="AQ283" s="5"/>
      <c r="AR283" s="5"/>
      <c r="AS283" s="5"/>
      <c r="AT283" s="5"/>
      <c r="AU283" s="5"/>
      <c r="AV283" s="5"/>
      <c r="AW283" s="1"/>
    </row>
    <row r="284" spans="1:49" x14ac:dyDescent="0.35">
      <c r="A284" s="33">
        <f t="shared" si="4"/>
        <v>42552</v>
      </c>
      <c r="B284" s="5">
        <v>50.3</v>
      </c>
      <c r="C284" s="5">
        <v>4730379.68</v>
      </c>
      <c r="D284" s="5">
        <v>61891</v>
      </c>
      <c r="E284" s="5">
        <v>3614.5811528200002</v>
      </c>
      <c r="F284" s="5">
        <v>9649.5039759699994</v>
      </c>
      <c r="G284" s="5">
        <v>729.3</v>
      </c>
      <c r="H284" s="5">
        <v>1462.7</v>
      </c>
      <c r="I284" s="5">
        <v>6825.2</v>
      </c>
      <c r="J284" s="24">
        <v>3.2079828467755283</v>
      </c>
      <c r="K284" s="5">
        <v>13094</v>
      </c>
      <c r="L284" s="5">
        <v>5.25</v>
      </c>
      <c r="M284" s="5"/>
      <c r="N284" s="5"/>
      <c r="O284" s="5"/>
      <c r="P284" s="1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1"/>
      <c r="AF284" s="5"/>
      <c r="AG284" s="5"/>
      <c r="AH284" s="1"/>
      <c r="AI284" s="5"/>
      <c r="AJ284" s="5"/>
      <c r="AK284" s="5"/>
      <c r="AL284" s="1"/>
      <c r="AM284" s="5"/>
      <c r="AN284" s="1"/>
      <c r="AO284" s="5"/>
      <c r="AP284" s="5"/>
      <c r="AQ284" s="5"/>
      <c r="AR284" s="5"/>
      <c r="AS284" s="5"/>
      <c r="AT284" s="5"/>
      <c r="AU284" s="5"/>
      <c r="AV284" s="5"/>
      <c r="AW284" s="1"/>
    </row>
    <row r="285" spans="1:49" x14ac:dyDescent="0.35">
      <c r="A285" s="33">
        <f t="shared" si="4"/>
        <v>42583</v>
      </c>
      <c r="B285" s="5">
        <v>50.1</v>
      </c>
      <c r="C285" s="5">
        <v>4746026.68</v>
      </c>
      <c r="D285" s="5">
        <v>96282</v>
      </c>
      <c r="E285" s="5">
        <v>5971.3026625399998</v>
      </c>
      <c r="F285" s="5">
        <v>12753.921321129999</v>
      </c>
      <c r="G285" s="5">
        <v>1174.8</v>
      </c>
      <c r="H285" s="5">
        <v>2065.3000000000002</v>
      </c>
      <c r="I285" s="5">
        <v>9145</v>
      </c>
      <c r="J285" s="24">
        <v>2.7930666228538574</v>
      </c>
      <c r="K285" s="5">
        <v>13300</v>
      </c>
      <c r="L285" s="5">
        <v>5.25</v>
      </c>
      <c r="M285" s="5"/>
      <c r="N285" s="5"/>
      <c r="O285" s="5"/>
      <c r="P285" s="1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1"/>
      <c r="AF285" s="5"/>
      <c r="AG285" s="5"/>
      <c r="AH285" s="1"/>
      <c r="AI285" s="5"/>
      <c r="AJ285" s="5"/>
      <c r="AK285" s="5"/>
      <c r="AL285" s="1"/>
      <c r="AM285" s="5"/>
      <c r="AN285" s="1"/>
      <c r="AO285" s="5"/>
      <c r="AP285" s="5"/>
      <c r="AQ285" s="5"/>
      <c r="AR285" s="5"/>
      <c r="AS285" s="5"/>
      <c r="AT285" s="5"/>
      <c r="AU285" s="5"/>
      <c r="AV285" s="5"/>
      <c r="AW285" s="1"/>
    </row>
    <row r="286" spans="1:49" x14ac:dyDescent="0.35">
      <c r="A286" s="33">
        <f t="shared" si="4"/>
        <v>42614</v>
      </c>
      <c r="B286" s="5">
        <v>50.4</v>
      </c>
      <c r="C286" s="5">
        <v>4737630.76</v>
      </c>
      <c r="D286" s="5">
        <v>92541</v>
      </c>
      <c r="E286" s="5">
        <v>5633.4784403900003</v>
      </c>
      <c r="F286" s="5">
        <v>12579.750249950001</v>
      </c>
      <c r="G286" s="5">
        <v>995.7</v>
      </c>
      <c r="H286" s="5">
        <v>1820.7</v>
      </c>
      <c r="I286" s="5">
        <v>8481.1</v>
      </c>
      <c r="J286" s="24">
        <v>3.0738883866195277</v>
      </c>
      <c r="K286" s="5">
        <v>12998</v>
      </c>
      <c r="L286" s="5">
        <v>5</v>
      </c>
      <c r="M286" s="5"/>
      <c r="N286" s="5"/>
      <c r="O286" s="5"/>
      <c r="P286" s="1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1"/>
      <c r="AF286" s="5"/>
      <c r="AG286" s="5"/>
      <c r="AH286" s="1"/>
      <c r="AI286" s="5"/>
      <c r="AJ286" s="5"/>
      <c r="AK286" s="5"/>
      <c r="AL286" s="1"/>
      <c r="AM286" s="5"/>
      <c r="AN286" s="1"/>
      <c r="AO286" s="5"/>
      <c r="AP286" s="5"/>
      <c r="AQ286" s="5"/>
      <c r="AR286" s="5"/>
      <c r="AS286" s="5"/>
      <c r="AT286" s="5"/>
      <c r="AU286" s="5"/>
      <c r="AV286" s="5"/>
      <c r="AW286" s="1"/>
    </row>
    <row r="287" spans="1:49" x14ac:dyDescent="0.35">
      <c r="A287" s="33">
        <f t="shared" si="4"/>
        <v>42644</v>
      </c>
      <c r="B287" s="5">
        <v>51.1</v>
      </c>
      <c r="C287" s="5">
        <v>4778478.8899999997</v>
      </c>
      <c r="D287" s="5">
        <v>92106</v>
      </c>
      <c r="E287" s="5">
        <v>6062.8290112100003</v>
      </c>
      <c r="F287" s="5">
        <v>12743.736883719999</v>
      </c>
      <c r="G287" s="5">
        <v>960.1</v>
      </c>
      <c r="H287" s="5">
        <v>1982.1</v>
      </c>
      <c r="I287" s="5">
        <v>8565</v>
      </c>
      <c r="J287" s="24">
        <v>3.3067368594225677</v>
      </c>
      <c r="K287" s="5">
        <v>13051</v>
      </c>
      <c r="L287" s="5">
        <v>4.75</v>
      </c>
      <c r="M287" s="5"/>
      <c r="N287" s="5"/>
      <c r="O287" s="5"/>
      <c r="P287" s="1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1"/>
      <c r="AF287" s="5"/>
      <c r="AG287" s="5"/>
      <c r="AH287" s="1"/>
      <c r="AI287" s="5"/>
      <c r="AJ287" s="5"/>
      <c r="AK287" s="5"/>
      <c r="AL287" s="1"/>
      <c r="AM287" s="5"/>
      <c r="AN287" s="1"/>
      <c r="AO287" s="5"/>
      <c r="AP287" s="5"/>
      <c r="AQ287" s="1"/>
      <c r="AR287" s="1"/>
      <c r="AS287" s="5"/>
      <c r="AT287" s="5"/>
      <c r="AU287" s="5"/>
      <c r="AV287" s="5"/>
      <c r="AW287" s="1"/>
    </row>
    <row r="288" spans="1:49" x14ac:dyDescent="0.35">
      <c r="A288" s="33">
        <f t="shared" si="4"/>
        <v>42675</v>
      </c>
      <c r="B288" s="5">
        <v>50.8</v>
      </c>
      <c r="C288" s="5">
        <v>4868651.16</v>
      </c>
      <c r="D288" s="5">
        <v>100365</v>
      </c>
      <c r="E288" s="5">
        <v>5737.2451116000002</v>
      </c>
      <c r="F288" s="5">
        <v>13502.920382689999</v>
      </c>
      <c r="G288" s="5">
        <v>1025.5</v>
      </c>
      <c r="H288" s="5">
        <v>2075.1999999999998</v>
      </c>
      <c r="I288" s="5">
        <v>9568.7000000000007</v>
      </c>
      <c r="J288" s="24">
        <v>3.5790510589394318</v>
      </c>
      <c r="K288" s="5">
        <v>13563</v>
      </c>
      <c r="L288" s="5">
        <v>4.75</v>
      </c>
      <c r="M288" s="5"/>
      <c r="N288" s="5"/>
      <c r="O288" s="5"/>
      <c r="P288" s="1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1"/>
      <c r="AF288" s="5"/>
      <c r="AG288" s="5"/>
      <c r="AH288" s="1"/>
      <c r="AI288" s="5"/>
      <c r="AJ288" s="5"/>
      <c r="AK288" s="5"/>
      <c r="AL288" s="1"/>
      <c r="AM288" s="5"/>
      <c r="AN288" s="1"/>
      <c r="AO288" s="5"/>
      <c r="AP288" s="5"/>
      <c r="AQ288" s="1"/>
      <c r="AR288" s="1"/>
      <c r="AS288" s="1"/>
      <c r="AT288" s="5"/>
      <c r="AU288" s="5"/>
      <c r="AV288" s="5"/>
      <c r="AW288" s="1"/>
    </row>
    <row r="289" spans="1:49" x14ac:dyDescent="0.35">
      <c r="A289" s="33">
        <f t="shared" si="4"/>
        <v>42705</v>
      </c>
      <c r="B289" s="5">
        <v>51.1</v>
      </c>
      <c r="C289" s="5">
        <v>5004976.79</v>
      </c>
      <c r="D289" s="5">
        <v>86547</v>
      </c>
      <c r="E289" s="5">
        <v>5503.1603821400004</v>
      </c>
      <c r="F289" s="5">
        <v>13832.355186410001</v>
      </c>
      <c r="G289" s="5">
        <v>1307.0999999999999</v>
      </c>
      <c r="H289" s="5">
        <v>2234.4</v>
      </c>
      <c r="I289" s="5">
        <v>9241</v>
      </c>
      <c r="J289" s="24">
        <v>3.0246361492804339</v>
      </c>
      <c r="K289" s="5">
        <v>13436</v>
      </c>
      <c r="L289" s="5">
        <v>4.75</v>
      </c>
      <c r="M289" s="5"/>
      <c r="N289" s="5"/>
      <c r="O289" s="5"/>
      <c r="P289" s="1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1"/>
      <c r="AF289" s="5"/>
      <c r="AG289" s="5"/>
      <c r="AH289" s="1"/>
      <c r="AI289" s="5"/>
      <c r="AJ289" s="5"/>
      <c r="AK289" s="5"/>
      <c r="AL289" s="1"/>
      <c r="AM289" s="5"/>
      <c r="AN289" s="1"/>
      <c r="AO289" s="5"/>
      <c r="AP289" s="5"/>
      <c r="AQ289" s="5"/>
      <c r="AR289" s="5"/>
      <c r="AS289" s="5"/>
      <c r="AT289" s="5"/>
      <c r="AU289" s="5"/>
      <c r="AV289" s="5"/>
      <c r="AW289" s="1"/>
    </row>
    <row r="290" spans="1:49" x14ac:dyDescent="0.35">
      <c r="A290" s="33">
        <f t="shared" si="4"/>
        <v>42736</v>
      </c>
      <c r="B290" s="5">
        <v>50.8</v>
      </c>
      <c r="C290" s="5">
        <v>4936881.99</v>
      </c>
      <c r="D290" s="5">
        <v>86262</v>
      </c>
      <c r="E290" s="5">
        <v>5172.2870000000003</v>
      </c>
      <c r="F290" s="5">
        <v>13397.676588</v>
      </c>
      <c r="G290" s="5">
        <v>1017</v>
      </c>
      <c r="H290" s="5">
        <v>1904.8</v>
      </c>
      <c r="I290" s="5">
        <v>9046.6</v>
      </c>
      <c r="J290" s="24">
        <v>3.4945801650218273</v>
      </c>
      <c r="K290" s="5">
        <v>13343</v>
      </c>
      <c r="L290" s="5">
        <v>4.75</v>
      </c>
      <c r="M290" s="5"/>
      <c r="N290" s="5"/>
      <c r="O290" s="5"/>
      <c r="P290" s="1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1"/>
      <c r="AF290" s="5"/>
      <c r="AG290" s="5"/>
      <c r="AH290" s="1"/>
      <c r="AI290" s="5"/>
      <c r="AJ290" s="5"/>
      <c r="AK290" s="1"/>
      <c r="AL290" s="1"/>
      <c r="AM290" s="5"/>
      <c r="AN290" s="1"/>
      <c r="AO290" s="1"/>
      <c r="AP290" s="5"/>
      <c r="AQ290" s="1"/>
      <c r="AR290" s="1"/>
      <c r="AS290" s="1"/>
      <c r="AT290" s="1"/>
      <c r="AU290" s="1"/>
      <c r="AV290" s="5"/>
      <c r="AW290" s="1"/>
    </row>
    <row r="291" spans="1:49" x14ac:dyDescent="0.35">
      <c r="A291" s="33">
        <f t="shared" si="4"/>
        <v>42767</v>
      </c>
      <c r="B291" s="5">
        <v>51.3</v>
      </c>
      <c r="C291" s="5">
        <v>4942919.76</v>
      </c>
      <c r="D291" s="5">
        <v>95163</v>
      </c>
      <c r="E291" s="5">
        <v>4554.6530000000002</v>
      </c>
      <c r="F291" s="5">
        <v>12615.980315000001</v>
      </c>
      <c r="G291" s="5">
        <v>888.3</v>
      </c>
      <c r="H291" s="5">
        <v>1703.2</v>
      </c>
      <c r="I291" s="5">
        <v>8767.9</v>
      </c>
      <c r="J291" s="24">
        <v>3.8296494210995125</v>
      </c>
      <c r="K291" s="5">
        <v>13347</v>
      </c>
      <c r="L291" s="5">
        <v>4.75</v>
      </c>
      <c r="M291" s="5"/>
      <c r="N291" s="5"/>
      <c r="O291" s="5"/>
      <c r="P291" s="1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1"/>
      <c r="AF291" s="5"/>
      <c r="AG291" s="5"/>
      <c r="AH291" s="1"/>
      <c r="AI291" s="5"/>
      <c r="AJ291" s="5"/>
      <c r="AK291" s="1"/>
      <c r="AL291" s="1"/>
      <c r="AM291" s="5"/>
      <c r="AN291" s="1"/>
      <c r="AO291" s="1"/>
      <c r="AP291" s="5"/>
      <c r="AQ291" s="1"/>
      <c r="AR291" s="1"/>
      <c r="AS291" s="1"/>
      <c r="AT291" s="1"/>
      <c r="AU291" s="1"/>
      <c r="AV291" s="5"/>
      <c r="AW291" s="1"/>
    </row>
    <row r="292" spans="1:49" x14ac:dyDescent="0.35">
      <c r="A292" s="33">
        <f t="shared" si="4"/>
        <v>42795</v>
      </c>
      <c r="B292" s="5">
        <v>51.5</v>
      </c>
      <c r="C292" s="5">
        <v>5017643.55</v>
      </c>
      <c r="D292" s="5">
        <v>102335</v>
      </c>
      <c r="E292" s="5">
        <v>5027.7879999999996</v>
      </c>
      <c r="F292" s="5">
        <v>14718.477687000001</v>
      </c>
      <c r="G292" s="5">
        <v>1329.1</v>
      </c>
      <c r="H292" s="5">
        <v>2018.3</v>
      </c>
      <c r="I292" s="1">
        <v>9935.7999999999993</v>
      </c>
      <c r="J292" s="24">
        <v>3.6121212121212198</v>
      </c>
      <c r="K292" s="5">
        <v>13321</v>
      </c>
      <c r="L292" s="5">
        <v>4.75</v>
      </c>
      <c r="M292" s="5"/>
      <c r="N292" s="5"/>
      <c r="O292" s="5"/>
      <c r="P292" s="1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1"/>
      <c r="AF292" s="5"/>
      <c r="AG292" s="5"/>
      <c r="AH292" s="1"/>
      <c r="AI292" s="5"/>
      <c r="AJ292" s="5"/>
      <c r="AK292" s="1"/>
      <c r="AL292" s="1"/>
      <c r="AM292" s="5"/>
      <c r="AN292" s="1"/>
      <c r="AO292" s="1"/>
      <c r="AP292" s="5"/>
      <c r="AQ292" s="1"/>
      <c r="AR292" s="1"/>
      <c r="AS292" s="1"/>
      <c r="AT292" s="1"/>
      <c r="AU292" s="1"/>
      <c r="AV292" s="5"/>
      <c r="AW292" s="1"/>
    </row>
    <row r="293" spans="1:49" x14ac:dyDescent="0.35">
      <c r="A293" s="33">
        <f t="shared" si="4"/>
        <v>42826</v>
      </c>
      <c r="B293" s="5">
        <v>50.9</v>
      </c>
      <c r="C293" s="5">
        <v>5033780.29</v>
      </c>
      <c r="D293" s="5">
        <v>89624</v>
      </c>
      <c r="E293" s="5">
        <v>5033.0659999999998</v>
      </c>
      <c r="F293" s="5">
        <v>13269.689617579999</v>
      </c>
      <c r="G293" s="5">
        <v>1095.4000000000001</v>
      </c>
      <c r="H293" s="5">
        <v>1861.6</v>
      </c>
      <c r="I293" s="1">
        <v>8993.6</v>
      </c>
      <c r="J293" s="24">
        <v>4.1724165922558756</v>
      </c>
      <c r="K293" s="5">
        <v>13327</v>
      </c>
      <c r="L293" s="5">
        <v>4.75</v>
      </c>
      <c r="M293" s="5"/>
      <c r="N293" s="5"/>
      <c r="O293" s="1"/>
      <c r="P293" s="1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1"/>
      <c r="AF293" s="1"/>
      <c r="AG293" s="5"/>
      <c r="AH293" s="1"/>
      <c r="AI293" s="5"/>
      <c r="AJ293" s="5"/>
      <c r="AK293" s="1"/>
      <c r="AL293" s="1"/>
      <c r="AM293" s="5"/>
      <c r="AN293" s="1"/>
      <c r="AO293" s="1"/>
      <c r="AP293" s="5"/>
      <c r="AQ293" s="1"/>
      <c r="AR293" s="1"/>
      <c r="AS293" s="1"/>
      <c r="AT293" s="1"/>
      <c r="AU293" s="1"/>
      <c r="AV293" s="5"/>
      <c r="AW293" s="1"/>
    </row>
    <row r="294" spans="1:49" x14ac:dyDescent="0.35">
      <c r="A294" s="33">
        <f t="shared" si="4"/>
        <v>42856</v>
      </c>
      <c r="B294" s="5">
        <v>50.5</v>
      </c>
      <c r="C294" s="5">
        <v>5126370.1500000004</v>
      </c>
      <c r="D294" s="5">
        <v>94085</v>
      </c>
      <c r="E294" s="5">
        <v>5475.1019999999999</v>
      </c>
      <c r="F294" s="1">
        <v>14333.85952355</v>
      </c>
      <c r="G294" s="1">
        <v>1288.5999999999999</v>
      </c>
      <c r="H294" s="1">
        <v>1957.9</v>
      </c>
      <c r="I294" s="1">
        <v>10526.1</v>
      </c>
      <c r="J294" s="24">
        <v>4.3326854551344356</v>
      </c>
      <c r="K294" s="5">
        <v>13321</v>
      </c>
      <c r="L294" s="5">
        <v>4.75</v>
      </c>
      <c r="M294" s="5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  <c r="AD294" s="5"/>
      <c r="AE294" s="1"/>
      <c r="AF294" s="1"/>
      <c r="AG294" s="5"/>
      <c r="AH294" s="1"/>
      <c r="AI294" s="5"/>
      <c r="AJ294" s="1"/>
      <c r="AK294" s="1"/>
      <c r="AL294" s="1"/>
      <c r="AM294" s="1"/>
      <c r="AN294" s="1"/>
      <c r="AO294" s="1"/>
      <c r="AP294" s="5"/>
      <c r="AQ294" s="1"/>
      <c r="AR294" s="1"/>
      <c r="AS294" s="1"/>
      <c r="AT294" s="1"/>
      <c r="AU294" s="1"/>
      <c r="AV294" s="5"/>
      <c r="AW294" s="1"/>
    </row>
    <row r="295" spans="1:49" x14ac:dyDescent="0.35">
      <c r="A295" s="33">
        <f t="shared" si="4"/>
        <v>42887</v>
      </c>
      <c r="B295" s="5">
        <v>50.8</v>
      </c>
      <c r="C295" s="5">
        <v>5225165.76</v>
      </c>
      <c r="D295" s="5">
        <v>66389</v>
      </c>
      <c r="E295" s="5">
        <v>3731.3580000000002</v>
      </c>
      <c r="F295" s="1">
        <v>11661.37638086</v>
      </c>
      <c r="G295" s="1">
        <v>1111.8</v>
      </c>
      <c r="H295" s="1">
        <v>1452.7</v>
      </c>
      <c r="I295" s="1">
        <v>7427.1</v>
      </c>
      <c r="J295" s="24">
        <v>4.3688148684527972</v>
      </c>
      <c r="K295" s="5">
        <v>13319</v>
      </c>
      <c r="L295" s="5">
        <v>4.75</v>
      </c>
      <c r="M295" s="5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  <c r="AD295" s="5"/>
      <c r="AE295" s="1"/>
      <c r="AF295" s="1"/>
      <c r="AG295" s="5"/>
      <c r="AH295" s="1"/>
      <c r="AI295" s="5"/>
      <c r="AJ295" s="1"/>
      <c r="AK295" s="1"/>
      <c r="AL295" s="1"/>
      <c r="AM295" s="1"/>
      <c r="AN295" s="1"/>
      <c r="AO295" s="1"/>
      <c r="AP295" s="5"/>
      <c r="AQ295" s="1"/>
      <c r="AR295" s="1"/>
      <c r="AS295" s="1"/>
      <c r="AT295" s="1"/>
      <c r="AU295" s="1"/>
      <c r="AV295" s="5"/>
      <c r="AW295" s="1"/>
    </row>
    <row r="296" spans="1:49" x14ac:dyDescent="0.35">
      <c r="A296" s="33">
        <f t="shared" si="4"/>
        <v>42917</v>
      </c>
      <c r="B296" s="5">
        <v>50.9</v>
      </c>
      <c r="C296" s="5">
        <v>5178078.75</v>
      </c>
      <c r="D296" s="5">
        <v>85354</v>
      </c>
      <c r="E296" s="5">
        <v>5638.6959999999999</v>
      </c>
      <c r="F296" s="1">
        <v>13611.06249927</v>
      </c>
      <c r="G296" s="1">
        <v>1069.0999999999999</v>
      </c>
      <c r="H296" s="1">
        <v>2362.8000000000002</v>
      </c>
      <c r="I296" s="1">
        <v>10457.9</v>
      </c>
      <c r="J296" s="24">
        <v>3.8753495805033955</v>
      </c>
      <c r="K296" s="5">
        <v>13323</v>
      </c>
      <c r="L296" s="5">
        <v>4.75</v>
      </c>
      <c r="M296" s="5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  <c r="AD296" s="5"/>
      <c r="AE296" s="1"/>
      <c r="AF296" s="1"/>
      <c r="AG296" s="5"/>
      <c r="AH296" s="1"/>
      <c r="AI296" s="5"/>
      <c r="AJ296" s="1"/>
      <c r="AK296" s="1"/>
      <c r="AL296" s="1"/>
      <c r="AM296" s="1"/>
      <c r="AN296" s="1"/>
      <c r="AO296" s="1"/>
      <c r="AP296" s="5"/>
      <c r="AQ296" s="1"/>
      <c r="AR296" s="1"/>
      <c r="AS296" s="1"/>
      <c r="AT296" s="1"/>
      <c r="AU296" s="1"/>
      <c r="AV296" s="5"/>
      <c r="AW296" s="1"/>
    </row>
    <row r="297" spans="1:49" x14ac:dyDescent="0.35">
      <c r="A297" s="33">
        <f t="shared" si="4"/>
        <v>42948</v>
      </c>
      <c r="B297" s="5">
        <v>51.7</v>
      </c>
      <c r="C297" s="5">
        <v>5219647.63</v>
      </c>
      <c r="D297" s="5">
        <v>97256</v>
      </c>
      <c r="E297" s="5">
        <v>6495.8310000000001</v>
      </c>
      <c r="F297" s="1">
        <v>15187.990997000001</v>
      </c>
      <c r="G297" s="1">
        <v>1194</v>
      </c>
      <c r="H297" s="1">
        <v>2211.8000000000002</v>
      </c>
      <c r="I297" s="1">
        <v>10103.4</v>
      </c>
      <c r="J297" s="24">
        <v>3.8200271717414025</v>
      </c>
      <c r="K297" s="5">
        <v>13351</v>
      </c>
      <c r="L297" s="5">
        <v>4.5</v>
      </c>
      <c r="M297" s="5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  <c r="AD297" s="5"/>
      <c r="AE297" s="1"/>
      <c r="AF297" s="1"/>
      <c r="AG297" s="5"/>
      <c r="AH297" s="1"/>
      <c r="AI297" s="5"/>
      <c r="AJ297" s="1"/>
      <c r="AK297" s="1"/>
      <c r="AL297" s="1"/>
      <c r="AM297" s="1"/>
      <c r="AN297" s="1"/>
      <c r="AO297" s="1"/>
      <c r="AP297" s="5"/>
      <c r="AQ297" s="1"/>
      <c r="AR297" s="1"/>
      <c r="AS297" s="1"/>
      <c r="AT297" s="1"/>
      <c r="AU297" s="1"/>
      <c r="AV297" s="5"/>
      <c r="AW297" s="1"/>
    </row>
    <row r="298" spans="1:49" x14ac:dyDescent="0.35">
      <c r="A298" s="33">
        <f t="shared" si="4"/>
        <v>42979</v>
      </c>
      <c r="B298" s="5">
        <v>51.3</v>
      </c>
      <c r="C298" s="5">
        <v>5254138.51</v>
      </c>
      <c r="D298" s="5">
        <v>87696</v>
      </c>
      <c r="E298" s="5">
        <v>6303.2759999999998</v>
      </c>
      <c r="F298" s="1">
        <v>14580.216112</v>
      </c>
      <c r="G298" s="1">
        <v>1117.7</v>
      </c>
      <c r="H298" s="1">
        <v>2054.5</v>
      </c>
      <c r="I298" s="1">
        <v>9616</v>
      </c>
      <c r="J298" s="24">
        <v>3.7237859819791277</v>
      </c>
      <c r="K298" s="5">
        <v>13492</v>
      </c>
      <c r="L298" s="5">
        <v>4.25</v>
      </c>
      <c r="M298" s="5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  <c r="AD298" s="5"/>
      <c r="AE298" s="1"/>
      <c r="AF298" s="1"/>
      <c r="AG298" s="5"/>
      <c r="AH298" s="1"/>
      <c r="AI298" s="5"/>
      <c r="AJ298" s="1"/>
      <c r="AK298" s="1"/>
      <c r="AL298" s="1"/>
      <c r="AM298" s="1"/>
      <c r="AN298" s="1"/>
      <c r="AO298" s="1"/>
      <c r="AP298" s="5"/>
      <c r="AQ298" s="1"/>
      <c r="AR298" s="1"/>
      <c r="AS298" s="1"/>
      <c r="AT298" s="1"/>
      <c r="AU298" s="1"/>
      <c r="AV298" s="5"/>
      <c r="AW298" s="1"/>
    </row>
    <row r="299" spans="1:49" x14ac:dyDescent="0.35">
      <c r="A299" s="33">
        <f t="shared" si="4"/>
        <v>43009</v>
      </c>
      <c r="B299" s="5">
        <v>51.2</v>
      </c>
      <c r="C299" s="5">
        <v>5284320.16</v>
      </c>
      <c r="D299" s="5">
        <v>94433</v>
      </c>
      <c r="E299" s="5">
        <v>6754.0749999999998</v>
      </c>
      <c r="F299" s="1">
        <v>15252.563526</v>
      </c>
      <c r="G299" s="1">
        <v>1251.2</v>
      </c>
      <c r="H299" s="1">
        <v>2191.1</v>
      </c>
      <c r="I299" s="1">
        <v>10806.9</v>
      </c>
      <c r="J299" s="24">
        <v>3.5830878254638119</v>
      </c>
      <c r="K299" s="5">
        <v>13572</v>
      </c>
      <c r="L299" s="5">
        <v>4.25</v>
      </c>
      <c r="M299" s="5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  <c r="AD299" s="5"/>
      <c r="AE299" s="1"/>
      <c r="AF299" s="1"/>
      <c r="AG299" s="5"/>
      <c r="AH299" s="1"/>
      <c r="AI299" s="5"/>
      <c r="AJ299" s="1"/>
      <c r="AK299" s="1"/>
      <c r="AL299" s="1"/>
      <c r="AM299" s="1"/>
      <c r="AN299" s="1"/>
      <c r="AO299" s="1"/>
      <c r="AP299" s="5"/>
      <c r="AQ299" s="1"/>
      <c r="AR299" s="1"/>
      <c r="AS299" s="1"/>
      <c r="AT299" s="1"/>
      <c r="AU299" s="1"/>
      <c r="AV299" s="5"/>
      <c r="AW299" s="1"/>
    </row>
    <row r="300" spans="1:49" x14ac:dyDescent="0.35">
      <c r="A300" s="33">
        <f t="shared" si="4"/>
        <v>43040</v>
      </c>
      <c r="B300" s="5">
        <v>51.6</v>
      </c>
      <c r="C300" s="5">
        <v>5321431.7699999996</v>
      </c>
      <c r="D300" s="5">
        <v>96191</v>
      </c>
      <c r="E300" s="5">
        <v>6365.491</v>
      </c>
      <c r="F300" s="1">
        <v>15334.735601</v>
      </c>
      <c r="G300" s="1">
        <v>1341.1</v>
      </c>
      <c r="H300" s="1">
        <v>2648</v>
      </c>
      <c r="I300" s="1">
        <v>11124.4</v>
      </c>
      <c r="J300" s="25">
        <v>3.3048026628625764</v>
      </c>
      <c r="K300" s="5">
        <v>13514</v>
      </c>
      <c r="L300" s="5">
        <v>4.25</v>
      </c>
      <c r="M300" s="5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  <c r="AD300" s="5"/>
      <c r="AE300" s="1"/>
      <c r="AF300" s="1"/>
      <c r="AG300" s="5"/>
      <c r="AH300" s="1"/>
      <c r="AI300" s="5"/>
      <c r="AJ300" s="1"/>
      <c r="AK300" s="1"/>
      <c r="AL300" s="1"/>
      <c r="AM300" s="1"/>
      <c r="AN300" s="1"/>
      <c r="AO300" s="1"/>
      <c r="AP300" s="5"/>
      <c r="AQ300" s="1"/>
      <c r="AR300" s="1"/>
      <c r="AS300" s="1"/>
      <c r="AT300" s="1"/>
      <c r="AU300" s="1"/>
      <c r="AV300" s="5"/>
      <c r="AW300" s="1"/>
    </row>
    <row r="301" spans="1:49" x14ac:dyDescent="0.35">
      <c r="A301" s="33">
        <f t="shared" si="4"/>
        <v>43070</v>
      </c>
      <c r="B301" s="5">
        <v>52.1</v>
      </c>
      <c r="C301" s="5">
        <v>5419165.0499999998</v>
      </c>
      <c r="D301" s="5">
        <v>85098</v>
      </c>
      <c r="E301" s="5">
        <v>5798.3230000000003</v>
      </c>
      <c r="F301" s="1">
        <v>14864.54709</v>
      </c>
      <c r="G301" s="1">
        <v>1375.4</v>
      </c>
      <c r="H301" s="1">
        <v>2692.3</v>
      </c>
      <c r="I301" s="1">
        <v>11036.7</v>
      </c>
      <c r="J301" s="25">
        <v>3.6066608791729191</v>
      </c>
      <c r="K301" s="5">
        <v>13548</v>
      </c>
      <c r="L301" s="5">
        <v>4.25</v>
      </c>
      <c r="M301" s="5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  <c r="AD301" s="5"/>
      <c r="AE301" s="1"/>
      <c r="AF301" s="1"/>
      <c r="AG301" s="5"/>
      <c r="AH301" s="1"/>
      <c r="AI301" s="5"/>
      <c r="AJ301" s="1"/>
      <c r="AK301" s="1"/>
      <c r="AL301" s="1"/>
      <c r="AM301" s="1"/>
      <c r="AN301" s="1"/>
      <c r="AO301" s="1"/>
      <c r="AP301" s="5"/>
      <c r="AQ301" s="1"/>
      <c r="AR301" s="1"/>
      <c r="AS301" s="1"/>
      <c r="AT301" s="1"/>
      <c r="AU301" s="1"/>
      <c r="AV301" s="5"/>
      <c r="AW301" s="1"/>
    </row>
    <row r="302" spans="1:49" x14ac:dyDescent="0.35">
      <c r="A302" s="33">
        <f t="shared" si="4"/>
        <v>43101</v>
      </c>
      <c r="B302" s="5">
        <v>51.9</v>
      </c>
      <c r="C302" s="5">
        <v>5351684.67</v>
      </c>
      <c r="D302" s="5">
        <v>95955</v>
      </c>
      <c r="E302" s="5">
        <v>5695.7479999999996</v>
      </c>
      <c r="F302" s="1">
        <v>14576.27732578</v>
      </c>
      <c r="G302" s="1">
        <v>1362.9</v>
      </c>
      <c r="H302" s="1">
        <v>2480</v>
      </c>
      <c r="I302" s="1">
        <v>11466.5</v>
      </c>
      <c r="J302" s="25">
        <v>3.2515241519462266</v>
      </c>
      <c r="K302" s="5">
        <v>13413</v>
      </c>
      <c r="L302" s="5">
        <v>4.25</v>
      </c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5"/>
      <c r="AB302" s="5"/>
      <c r="AC302" s="5"/>
      <c r="AD302" s="5"/>
      <c r="AE302" s="1"/>
      <c r="AF302" s="1"/>
      <c r="AG302" s="5"/>
      <c r="AH302" s="1"/>
      <c r="AI302" s="1"/>
      <c r="AJ302" s="1"/>
      <c r="AK302" s="1"/>
      <c r="AL302" s="1"/>
      <c r="AM302" s="1"/>
      <c r="AN302" s="1"/>
      <c r="AO302" s="1"/>
      <c r="AP302" s="5"/>
      <c r="AQ302" s="1"/>
      <c r="AR302" s="1"/>
      <c r="AS302" s="1"/>
      <c r="AT302" s="1"/>
      <c r="AU302" s="1"/>
      <c r="AV302" s="5"/>
      <c r="AW302" s="1"/>
    </row>
    <row r="303" spans="1:49" x14ac:dyDescent="0.35">
      <c r="A303" s="33">
        <f t="shared" si="4"/>
        <v>43132</v>
      </c>
      <c r="B303" s="5">
        <v>51.9</v>
      </c>
      <c r="C303" s="5">
        <v>5351650.33</v>
      </c>
      <c r="D303" s="5">
        <v>94385</v>
      </c>
      <c r="E303" s="5">
        <v>4821.2619999999997</v>
      </c>
      <c r="F303" s="1">
        <v>14132.38205593</v>
      </c>
      <c r="G303" s="1">
        <v>1378.8</v>
      </c>
      <c r="H303" s="1">
        <v>2206.4</v>
      </c>
      <c r="I303" s="1">
        <v>10600.3</v>
      </c>
      <c r="J303" s="25">
        <v>3.1559173039116413</v>
      </c>
      <c r="K303" s="1">
        <v>13707</v>
      </c>
      <c r="L303" s="1">
        <v>4.25</v>
      </c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5"/>
      <c r="AH303" s="1"/>
      <c r="AI303" s="1"/>
      <c r="AJ303" s="1"/>
      <c r="AK303" s="1"/>
      <c r="AL303" s="1"/>
      <c r="AM303" s="1"/>
      <c r="AN303" s="1"/>
      <c r="AO303" s="1"/>
      <c r="AP303" s="5"/>
      <c r="AQ303" s="1"/>
      <c r="AR303" s="1"/>
      <c r="AS303" s="1"/>
      <c r="AT303" s="1"/>
      <c r="AU303" s="1"/>
      <c r="AV303" s="5"/>
      <c r="AW303" s="1"/>
    </row>
    <row r="304" spans="1:49" x14ac:dyDescent="0.35">
      <c r="A304" s="33">
        <f t="shared" si="4"/>
        <v>43160</v>
      </c>
      <c r="B304" s="5">
        <v>51.3</v>
      </c>
      <c r="C304" s="5">
        <v>5395826.04</v>
      </c>
      <c r="D304" s="5">
        <v>101813</v>
      </c>
      <c r="E304" s="5">
        <v>5204.8519999999999</v>
      </c>
      <c r="F304" s="1">
        <v>15510.61670318</v>
      </c>
      <c r="G304" s="1">
        <v>1201.2</v>
      </c>
      <c r="H304" s="1">
        <v>2385.6</v>
      </c>
      <c r="I304" s="1">
        <v>10876.8</v>
      </c>
      <c r="J304" s="25">
        <v>3.4222228157174328</v>
      </c>
      <c r="K304" s="1">
        <v>13756</v>
      </c>
      <c r="L304" s="1">
        <v>4.25</v>
      </c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5"/>
      <c r="AH304" s="1"/>
      <c r="AI304" s="1"/>
      <c r="AJ304" s="1"/>
      <c r="AK304" s="1"/>
      <c r="AL304" s="1"/>
      <c r="AM304" s="1"/>
      <c r="AN304" s="1"/>
      <c r="AO304" s="1"/>
      <c r="AP304" s="5"/>
      <c r="AQ304" s="1"/>
      <c r="AR304" s="1"/>
      <c r="AS304" s="1"/>
      <c r="AT304" s="1"/>
      <c r="AU304" s="1"/>
      <c r="AV304" s="5"/>
      <c r="AW304" s="1"/>
    </row>
    <row r="305" spans="1:49" x14ac:dyDescent="0.35">
      <c r="A305" s="33">
        <f t="shared" si="4"/>
        <v>43191</v>
      </c>
      <c r="B305" s="5">
        <v>51.3</v>
      </c>
      <c r="C305" s="5">
        <v>5409088.8099999996</v>
      </c>
      <c r="D305" s="5">
        <v>102258</v>
      </c>
      <c r="E305" s="5">
        <v>5337.491</v>
      </c>
      <c r="F305" s="5">
        <v>14496.23805747</v>
      </c>
      <c r="G305" s="5">
        <v>1503.1</v>
      </c>
      <c r="H305" s="5">
        <v>2570.3000000000002</v>
      </c>
      <c r="I305" s="5">
        <v>12088.9</v>
      </c>
      <c r="J305" s="25">
        <v>3.4481564925404529</v>
      </c>
      <c r="K305" s="1">
        <v>13877</v>
      </c>
      <c r="L305" s="1">
        <v>4.25</v>
      </c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5"/>
      <c r="AH305" s="1"/>
      <c r="AI305" s="1"/>
      <c r="AJ305" s="1"/>
      <c r="AK305" s="1"/>
      <c r="AL305" s="1"/>
      <c r="AM305" s="1"/>
      <c r="AN305" s="1"/>
      <c r="AO305" s="1"/>
      <c r="AP305" s="5"/>
      <c r="AQ305" s="1"/>
      <c r="AR305" s="1"/>
      <c r="AS305" s="1"/>
      <c r="AT305" s="1"/>
      <c r="AU305" s="1"/>
      <c r="AV305" s="5"/>
      <c r="AW305" s="1"/>
    </row>
    <row r="306" spans="1:49" x14ac:dyDescent="0.35">
      <c r="A306" s="33">
        <f t="shared" si="4"/>
        <v>43221</v>
      </c>
      <c r="B306" s="5">
        <v>51.1</v>
      </c>
      <c r="C306" s="5">
        <v>5435082.9299999997</v>
      </c>
      <c r="D306" s="5">
        <v>100520</v>
      </c>
      <c r="E306" s="5">
        <v>5671.1509999999998</v>
      </c>
      <c r="F306" s="5">
        <v>16198.340826260001</v>
      </c>
      <c r="G306" s="5">
        <v>1730</v>
      </c>
      <c r="H306" s="5">
        <v>2744.7</v>
      </c>
      <c r="I306" s="5">
        <v>13188.2</v>
      </c>
      <c r="J306" s="25">
        <v>3.3164483810461229</v>
      </c>
      <c r="K306" s="1">
        <v>13951</v>
      </c>
      <c r="L306" s="1">
        <v>4.75</v>
      </c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5"/>
      <c r="AH306" s="1"/>
      <c r="AI306" s="1"/>
      <c r="AJ306" s="1"/>
      <c r="AK306" s="1"/>
      <c r="AL306" s="1"/>
      <c r="AM306" s="1"/>
      <c r="AN306" s="1"/>
      <c r="AO306" s="1"/>
      <c r="AP306" s="5"/>
      <c r="AQ306" s="1"/>
      <c r="AR306" s="1"/>
      <c r="AS306" s="1"/>
      <c r="AT306" s="1"/>
      <c r="AU306" s="1"/>
      <c r="AV306" s="5"/>
      <c r="AW306" s="1"/>
    </row>
    <row r="307" spans="1:49" x14ac:dyDescent="0.35">
      <c r="A307" s="33">
        <f t="shared" si="4"/>
        <v>43252</v>
      </c>
      <c r="B307" s="5">
        <v>51.2</v>
      </c>
      <c r="C307" s="5">
        <v>5534149.8300000001</v>
      </c>
      <c r="D307" s="5">
        <v>58842</v>
      </c>
      <c r="E307" s="5">
        <v>3317.328</v>
      </c>
      <c r="F307" s="5">
        <v>12941.73983172</v>
      </c>
      <c r="G307" s="5">
        <v>1008</v>
      </c>
      <c r="H307" s="5">
        <v>1674</v>
      </c>
      <c r="I307" s="5">
        <v>8585.9</v>
      </c>
      <c r="J307" s="25">
        <v>3.2465157935485838</v>
      </c>
      <c r="K307" s="1">
        <v>14404</v>
      </c>
      <c r="L307" s="1">
        <v>5.25</v>
      </c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5"/>
      <c r="AH307" s="1"/>
      <c r="AI307" s="1"/>
      <c r="AJ307" s="1"/>
      <c r="AK307" s="1"/>
      <c r="AL307" s="1"/>
      <c r="AM307" s="1"/>
      <c r="AN307" s="1"/>
      <c r="AO307" s="1"/>
      <c r="AP307" s="5"/>
      <c r="AQ307" s="1"/>
      <c r="AR307" s="1"/>
      <c r="AS307" s="1"/>
      <c r="AT307" s="1"/>
      <c r="AU307" s="5"/>
      <c r="AV307" s="5"/>
      <c r="AW307" s="1"/>
    </row>
    <row r="308" spans="1:49" x14ac:dyDescent="0.35">
      <c r="A308" s="33">
        <f t="shared" si="4"/>
        <v>43282</v>
      </c>
      <c r="B308" s="5">
        <v>51</v>
      </c>
      <c r="C308" s="5">
        <v>5507791.75</v>
      </c>
      <c r="D308" s="5">
        <v>107474</v>
      </c>
      <c r="E308" s="5">
        <v>6423.1670000000004</v>
      </c>
      <c r="F308" s="5">
        <v>16284.71999231</v>
      </c>
      <c r="G308" s="5">
        <v>1712</v>
      </c>
      <c r="H308" s="5">
        <v>2881</v>
      </c>
      <c r="I308" s="5">
        <v>13704.1</v>
      </c>
      <c r="J308" s="25">
        <v>3.37375648031386</v>
      </c>
      <c r="K308" s="1">
        <v>14413</v>
      </c>
      <c r="L308" s="1">
        <v>5.25</v>
      </c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5"/>
      <c r="AH308" s="1"/>
      <c r="AI308" s="1"/>
      <c r="AJ308" s="1"/>
      <c r="AK308" s="1"/>
      <c r="AL308" s="1"/>
      <c r="AM308" s="1"/>
      <c r="AN308" s="1"/>
      <c r="AO308" s="1"/>
      <c r="AP308" s="5"/>
      <c r="AQ308" s="1"/>
      <c r="AR308" s="1"/>
      <c r="AS308" s="1"/>
      <c r="AT308" s="1"/>
      <c r="AU308" s="5"/>
      <c r="AV308" s="1"/>
      <c r="AW308" s="1"/>
    </row>
    <row r="309" spans="1:49" x14ac:dyDescent="0.35">
      <c r="A309" s="33">
        <f t="shared" si="4"/>
        <v>43313</v>
      </c>
      <c r="B309" s="5">
        <v>50.8</v>
      </c>
      <c r="C309" s="5">
        <v>5529451.8099999996</v>
      </c>
      <c r="D309" s="5">
        <v>102197</v>
      </c>
      <c r="E309" s="5">
        <v>6532.84</v>
      </c>
      <c r="F309" s="5">
        <v>15865.12405642</v>
      </c>
      <c r="G309" s="5">
        <v>1555.5</v>
      </c>
      <c r="H309" s="5">
        <v>2629.3</v>
      </c>
      <c r="I309" s="5">
        <v>12633.3</v>
      </c>
      <c r="J309" s="25">
        <v>3.3733425056884196</v>
      </c>
      <c r="K309" s="1">
        <v>14711</v>
      </c>
      <c r="L309" s="1">
        <v>5.5</v>
      </c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5"/>
      <c r="AH309" s="1"/>
      <c r="AI309" s="1"/>
      <c r="AJ309" s="1"/>
      <c r="AK309" s="1"/>
      <c r="AL309" s="1"/>
      <c r="AM309" s="1"/>
      <c r="AN309" s="1"/>
      <c r="AO309" s="1"/>
      <c r="AP309" s="5"/>
      <c r="AQ309" s="1"/>
      <c r="AR309" s="1"/>
      <c r="AS309" s="1"/>
      <c r="AT309" s="1"/>
      <c r="AU309" s="5"/>
      <c r="AV309" s="1"/>
      <c r="AW309" s="1"/>
    </row>
    <row r="310" spans="1:49" x14ac:dyDescent="0.35">
      <c r="A310" s="33">
        <f t="shared" si="4"/>
        <v>43344</v>
      </c>
      <c r="B310" s="5">
        <v>50.3</v>
      </c>
      <c r="C310" s="5">
        <v>5606779.8899999997</v>
      </c>
      <c r="D310" s="5">
        <v>93311</v>
      </c>
      <c r="E310" s="5">
        <v>6776.9279999999999</v>
      </c>
      <c r="F310" s="5">
        <v>14956.348234229999</v>
      </c>
      <c r="G310" s="5">
        <v>1325.8</v>
      </c>
      <c r="H310" s="5">
        <v>2382.1999999999998</v>
      </c>
      <c r="I310" s="5">
        <v>10902.1</v>
      </c>
      <c r="J310" s="25">
        <v>3.0224375179392355</v>
      </c>
      <c r="K310" s="1">
        <v>14929</v>
      </c>
      <c r="L310" s="1">
        <v>5.75</v>
      </c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5"/>
      <c r="AH310" s="1"/>
      <c r="AI310" s="1"/>
      <c r="AJ310" s="1"/>
      <c r="AK310" s="1"/>
      <c r="AL310" s="1"/>
      <c r="AM310" s="1"/>
      <c r="AN310" s="1"/>
      <c r="AO310" s="1"/>
      <c r="AP310" s="5"/>
      <c r="AQ310" s="1"/>
      <c r="AR310" s="1"/>
      <c r="AS310" s="1"/>
      <c r="AT310" s="1"/>
      <c r="AU310" s="5"/>
      <c r="AV310" s="1"/>
      <c r="AW310" s="1"/>
    </row>
    <row r="311" spans="1:49" x14ac:dyDescent="0.35">
      <c r="A311" s="33">
        <f t="shared" si="4"/>
        <v>43374</v>
      </c>
      <c r="B311" s="5">
        <v>50.5</v>
      </c>
      <c r="C311" s="5">
        <v>5667512.0999999996</v>
      </c>
      <c r="D311" s="5">
        <v>106079</v>
      </c>
      <c r="E311" s="5">
        <v>7187.8969999999999</v>
      </c>
      <c r="F311" s="5">
        <v>15909.07284628</v>
      </c>
      <c r="G311" s="5">
        <v>1502.7</v>
      </c>
      <c r="H311" s="5">
        <v>2754.5</v>
      </c>
      <c r="I311" s="5">
        <v>13410.4</v>
      </c>
      <c r="J311" s="25">
        <v>3.3227910700715326</v>
      </c>
      <c r="K311" s="1">
        <v>15227</v>
      </c>
      <c r="L311" s="1">
        <v>5.75</v>
      </c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5"/>
      <c r="AH311" s="1"/>
      <c r="AI311" s="1"/>
      <c r="AJ311" s="1"/>
      <c r="AK311" s="1"/>
      <c r="AL311" s="1"/>
      <c r="AM311" s="1"/>
      <c r="AN311" s="1"/>
      <c r="AO311" s="1"/>
      <c r="AP311" s="5"/>
      <c r="AQ311" s="1"/>
      <c r="AR311" s="1"/>
      <c r="AS311" s="1"/>
      <c r="AT311" s="1"/>
      <c r="AU311" s="5"/>
      <c r="AV311" s="1"/>
      <c r="AW311" s="1"/>
    </row>
    <row r="312" spans="1:49" x14ac:dyDescent="0.35">
      <c r="A312" s="33">
        <f t="shared" si="4"/>
        <v>43405</v>
      </c>
      <c r="B312" s="5">
        <v>50.7</v>
      </c>
      <c r="C312" s="5">
        <v>5670975.2400000002</v>
      </c>
      <c r="D312" s="5">
        <v>100733</v>
      </c>
      <c r="E312" s="5">
        <v>6475.1279999999997</v>
      </c>
      <c r="F312" s="5">
        <v>14851.72086222</v>
      </c>
      <c r="G312" s="5">
        <v>1434.3</v>
      </c>
      <c r="H312" s="5">
        <v>2597</v>
      </c>
      <c r="I312" s="5">
        <v>12870.5</v>
      </c>
      <c r="J312" s="25">
        <v>3.4141030636384619</v>
      </c>
      <c r="K312" s="1">
        <v>14339</v>
      </c>
      <c r="L312" s="1">
        <v>6</v>
      </c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5"/>
      <c r="AH312" s="1"/>
      <c r="AI312" s="1"/>
      <c r="AJ312" s="1"/>
      <c r="AK312" s="1"/>
      <c r="AL312" s="1"/>
      <c r="AM312" s="1"/>
      <c r="AN312" s="1"/>
      <c r="AO312" s="1"/>
      <c r="AP312" s="5"/>
      <c r="AQ312" s="1"/>
      <c r="AR312" s="1"/>
      <c r="AS312" s="1"/>
      <c r="AT312" s="1"/>
      <c r="AU312" s="5"/>
      <c r="AV312" s="1"/>
      <c r="AW312" s="1"/>
    </row>
    <row r="313" spans="1:49" x14ac:dyDescent="0.35">
      <c r="A313" s="33">
        <f t="shared" si="4"/>
        <v>43435</v>
      </c>
      <c r="B313" s="5">
        <v>50.2</v>
      </c>
      <c r="C313" s="5">
        <v>5760046.2000000002</v>
      </c>
      <c r="D313" s="5">
        <v>87846</v>
      </c>
      <c r="E313" s="5">
        <v>6100.6769999999997</v>
      </c>
      <c r="F313" s="5">
        <v>14290.09321017</v>
      </c>
      <c r="G313" s="5">
        <v>1467.1</v>
      </c>
      <c r="H313" s="5">
        <v>2677.6</v>
      </c>
      <c r="I313" s="5">
        <v>11220.3</v>
      </c>
      <c r="J313" s="25">
        <v>3.1600907157844658</v>
      </c>
      <c r="K313" s="1">
        <v>14481</v>
      </c>
      <c r="L313" s="1">
        <v>6</v>
      </c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5"/>
      <c r="AH313" s="1"/>
      <c r="AI313" s="1"/>
      <c r="AJ313" s="1"/>
      <c r="AK313" s="1"/>
      <c r="AL313" s="1"/>
      <c r="AM313" s="1"/>
      <c r="AN313" s="1"/>
      <c r="AO313" s="1"/>
      <c r="AP313" s="5"/>
      <c r="AQ313" s="1"/>
      <c r="AR313" s="1"/>
      <c r="AS313" s="1"/>
      <c r="AT313" s="1"/>
      <c r="AU313" s="5"/>
      <c r="AV313" s="1"/>
      <c r="AW313" s="1"/>
    </row>
    <row r="314" spans="1:49" x14ac:dyDescent="0.35">
      <c r="A314" s="33">
        <f t="shared" si="4"/>
        <v>43466</v>
      </c>
      <c r="B314" s="5">
        <v>49.5</v>
      </c>
      <c r="C314" s="5">
        <v>5644985.1699999999</v>
      </c>
      <c r="D314" s="5">
        <v>82155</v>
      </c>
      <c r="E314" s="5">
        <v>5623.52</v>
      </c>
      <c r="F314" s="5">
        <v>14028.08639726</v>
      </c>
      <c r="G314" s="5">
        <v>1219.9000000000001</v>
      </c>
      <c r="H314" s="5">
        <v>2355.6</v>
      </c>
      <c r="I314" s="5">
        <v>11415.9</v>
      </c>
      <c r="J314" s="25">
        <v>2.8233151183970904</v>
      </c>
      <c r="K314" s="1">
        <v>14072</v>
      </c>
      <c r="L314" s="1">
        <v>6</v>
      </c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5"/>
      <c r="AH314" s="1"/>
      <c r="AI314" s="1"/>
      <c r="AJ314" s="1"/>
      <c r="AK314" s="1"/>
      <c r="AL314" s="1"/>
      <c r="AM314" s="1"/>
      <c r="AN314" s="1"/>
      <c r="AO314" s="1"/>
      <c r="AP314" s="5"/>
      <c r="AQ314" s="1"/>
      <c r="AR314" s="1"/>
      <c r="AS314" s="1"/>
      <c r="AT314" s="1"/>
      <c r="AU314" s="5"/>
      <c r="AV314" s="1"/>
      <c r="AW314" s="1"/>
    </row>
    <row r="315" spans="1:49" x14ac:dyDescent="0.35">
      <c r="A315" s="33">
        <f t="shared" si="4"/>
        <v>43497</v>
      </c>
      <c r="B315" s="5">
        <v>50.6</v>
      </c>
      <c r="C315" s="5">
        <v>5670777.5700000003</v>
      </c>
      <c r="D315" s="5">
        <v>81809</v>
      </c>
      <c r="E315" s="5">
        <v>4883.7460000000001</v>
      </c>
      <c r="F315" s="5">
        <v>12788.55713166</v>
      </c>
      <c r="G315" s="5">
        <v>1011.2</v>
      </c>
      <c r="H315" s="5">
        <v>2189.1999999999998</v>
      </c>
      <c r="I315" s="5">
        <v>9025.6</v>
      </c>
      <c r="J315" s="25">
        <v>2.657639450282963</v>
      </c>
      <c r="K315" s="1">
        <v>14062</v>
      </c>
      <c r="L315" s="1">
        <v>6</v>
      </c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5"/>
      <c r="AH315" s="1"/>
      <c r="AI315" s="1"/>
      <c r="AJ315" s="1"/>
      <c r="AK315" s="1"/>
      <c r="AL315" s="5"/>
      <c r="AM315" s="1"/>
      <c r="AN315" s="1"/>
      <c r="AO315" s="1"/>
      <c r="AP315" s="5"/>
      <c r="AQ315" s="1"/>
      <c r="AR315" s="1"/>
      <c r="AS315" s="1"/>
      <c r="AT315" s="1"/>
      <c r="AU315" s="5"/>
      <c r="AV315" s="1"/>
      <c r="AW315" s="1"/>
    </row>
    <row r="316" spans="1:49" x14ac:dyDescent="0.35">
      <c r="A316" s="33">
        <f t="shared" si="4"/>
        <v>43525</v>
      </c>
      <c r="B316" s="5">
        <v>51</v>
      </c>
      <c r="C316" s="5">
        <v>5747246.8200000003</v>
      </c>
      <c r="D316" s="5">
        <v>90368</v>
      </c>
      <c r="E316" s="5">
        <v>5166.2120000000004</v>
      </c>
      <c r="F316" s="5">
        <v>14447.78901335</v>
      </c>
      <c r="G316" s="5">
        <v>1146</v>
      </c>
      <c r="H316" s="5">
        <v>2198.1999999999998</v>
      </c>
      <c r="I316" s="5">
        <v>10106.9</v>
      </c>
      <c r="J316" s="25">
        <v>2.5302419354838581</v>
      </c>
      <c r="K316" s="1">
        <v>14244</v>
      </c>
      <c r="L316" s="1">
        <v>6</v>
      </c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5"/>
      <c r="AH316" s="1"/>
      <c r="AI316" s="1"/>
      <c r="AJ316" s="1"/>
      <c r="AK316" s="1"/>
      <c r="AL316" s="5"/>
      <c r="AM316" s="1"/>
      <c r="AN316" s="1"/>
      <c r="AO316" s="1"/>
      <c r="AP316" s="5"/>
      <c r="AQ316" s="1"/>
      <c r="AR316" s="1"/>
      <c r="AS316" s="1"/>
      <c r="AT316" s="1"/>
      <c r="AU316" s="5"/>
      <c r="AV316" s="1"/>
      <c r="AW316" s="1"/>
    </row>
    <row r="317" spans="1:49" x14ac:dyDescent="0.35">
      <c r="A317" s="33">
        <f t="shared" si="4"/>
        <v>43556</v>
      </c>
      <c r="B317" s="5">
        <v>50.5</v>
      </c>
      <c r="C317" s="5">
        <v>5746731.7699999996</v>
      </c>
      <c r="D317" s="5">
        <v>84056</v>
      </c>
      <c r="E317" s="5">
        <v>4816.3630000000003</v>
      </c>
      <c r="F317" s="5">
        <v>13068.06833292</v>
      </c>
      <c r="G317" s="5">
        <v>1460.2</v>
      </c>
      <c r="H317" s="5">
        <v>2368.3000000000002</v>
      </c>
      <c r="I317" s="5">
        <v>11570.7</v>
      </c>
      <c r="J317" s="25">
        <v>2.779176316584417</v>
      </c>
      <c r="K317" s="1">
        <v>14215</v>
      </c>
      <c r="L317" s="1">
        <v>6</v>
      </c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5"/>
      <c r="AF317" s="1"/>
      <c r="AG317" s="5"/>
      <c r="AH317" s="1"/>
      <c r="AI317" s="1"/>
      <c r="AJ317" s="1"/>
      <c r="AK317" s="1"/>
      <c r="AL317" s="5"/>
      <c r="AM317" s="1"/>
      <c r="AN317" s="1"/>
      <c r="AO317" s="1"/>
      <c r="AP317" s="5"/>
      <c r="AQ317" s="1"/>
      <c r="AR317" s="1"/>
      <c r="AS317" s="1"/>
      <c r="AT317" s="1"/>
      <c r="AU317" s="5"/>
      <c r="AV317" s="1"/>
      <c r="AW317" s="1"/>
    </row>
    <row r="318" spans="1:49" x14ac:dyDescent="0.35">
      <c r="A318" s="33">
        <f t="shared" si="4"/>
        <v>43586</v>
      </c>
      <c r="B318" s="5">
        <v>50.4</v>
      </c>
      <c r="C318" s="5">
        <v>5860508.75</v>
      </c>
      <c r="D318" s="5">
        <v>84109</v>
      </c>
      <c r="E318" s="5">
        <v>5195.38</v>
      </c>
      <c r="F318" s="5">
        <v>14751.890717710001</v>
      </c>
      <c r="G318" s="5">
        <v>1553.2</v>
      </c>
      <c r="H318" s="5">
        <v>2322.6999999999998</v>
      </c>
      <c r="I318" s="5">
        <v>10730.8</v>
      </c>
      <c r="J318" s="24">
        <v>3.063171638043602</v>
      </c>
      <c r="K318" s="1">
        <v>14385</v>
      </c>
      <c r="L318" s="1">
        <v>6</v>
      </c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5"/>
      <c r="Y318" s="5"/>
      <c r="Z318" s="5"/>
      <c r="AA318" s="1"/>
      <c r="AB318" s="1"/>
      <c r="AC318" s="1"/>
      <c r="AD318" s="1"/>
      <c r="AE318" s="5"/>
      <c r="AF318" s="1"/>
      <c r="AG318" s="5"/>
      <c r="AH318" s="1"/>
      <c r="AI318" s="1"/>
      <c r="AJ318" s="1"/>
      <c r="AK318" s="5"/>
      <c r="AL318" s="5"/>
      <c r="AM318" s="1"/>
      <c r="AN318" s="1"/>
      <c r="AO318" s="1"/>
      <c r="AP318" s="5"/>
      <c r="AQ318" s="1"/>
      <c r="AR318" s="1"/>
      <c r="AS318" s="1"/>
      <c r="AT318" s="1"/>
      <c r="AU318" s="5"/>
      <c r="AV318" s="1"/>
      <c r="AW318" s="1"/>
    </row>
    <row r="319" spans="1:49" x14ac:dyDescent="0.35">
      <c r="A319" s="33">
        <f t="shared" si="4"/>
        <v>43617</v>
      </c>
      <c r="B319" s="5">
        <v>49.9</v>
      </c>
      <c r="C319" s="5">
        <v>5908509.2699999996</v>
      </c>
      <c r="D319" s="5">
        <v>59600</v>
      </c>
      <c r="E319" s="5">
        <v>3738.748</v>
      </c>
      <c r="F319" s="5">
        <v>11763.353136510001</v>
      </c>
      <c r="G319" s="5">
        <v>1029.8</v>
      </c>
      <c r="H319" s="5">
        <v>1729.5</v>
      </c>
      <c r="I319" s="5">
        <v>8736.1</v>
      </c>
      <c r="J319" s="24">
        <v>2.8445952689889342</v>
      </c>
      <c r="K319" s="1">
        <v>14141</v>
      </c>
      <c r="L319" s="1">
        <v>6</v>
      </c>
      <c r="M319" s="5"/>
      <c r="N319" s="5"/>
      <c r="O319" s="5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  <c r="AD319" s="5"/>
      <c r="AE319" s="1"/>
      <c r="AF319" s="1"/>
      <c r="AG319" s="5"/>
      <c r="AH319" s="1"/>
      <c r="AI319" s="5"/>
      <c r="AJ319" s="1"/>
      <c r="AK319" s="5"/>
      <c r="AL319" s="5"/>
      <c r="AM319" s="1"/>
      <c r="AN319" s="5"/>
      <c r="AO319" s="1"/>
      <c r="AP319" s="5"/>
      <c r="AQ319" s="1"/>
      <c r="AR319" s="1"/>
      <c r="AS319" s="1"/>
      <c r="AT319" s="1"/>
      <c r="AU319" s="5"/>
      <c r="AV319" s="1"/>
      <c r="AW319" s="1"/>
    </row>
    <row r="320" spans="1:49" x14ac:dyDescent="0.35">
      <c r="A320" s="33">
        <f t="shared" si="4"/>
        <v>43647</v>
      </c>
      <c r="B320" s="5">
        <v>50.1</v>
      </c>
      <c r="C320" s="5">
        <v>5941133.0999999996</v>
      </c>
      <c r="D320" s="5">
        <v>89254</v>
      </c>
      <c r="E320" s="5">
        <v>6319.6689999999999</v>
      </c>
      <c r="F320" s="5">
        <v>15238.41810904</v>
      </c>
      <c r="G320" s="5">
        <v>1465.6</v>
      </c>
      <c r="H320" s="5">
        <v>2780.1</v>
      </c>
      <c r="I320" s="5">
        <v>11272.8</v>
      </c>
      <c r="J320" s="24">
        <v>2.8150800755993126</v>
      </c>
      <c r="K320" s="5">
        <v>14026</v>
      </c>
      <c r="L320" s="5">
        <v>5.75</v>
      </c>
      <c r="M320" s="5"/>
      <c r="N320" s="5"/>
      <c r="O320" s="5"/>
      <c r="P320" s="1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1"/>
      <c r="AF320" s="5"/>
      <c r="AG320" s="5"/>
      <c r="AH320" s="1"/>
      <c r="AI320" s="5"/>
      <c r="AJ320" s="5"/>
      <c r="AK320" s="5"/>
      <c r="AL320" s="5"/>
      <c r="AM320" s="5"/>
      <c r="AN320" s="5"/>
      <c r="AO320" s="1"/>
      <c r="AP320" s="5"/>
      <c r="AQ320" s="1"/>
      <c r="AR320" s="1"/>
      <c r="AS320" s="1"/>
      <c r="AT320" s="1"/>
      <c r="AU320" s="5"/>
      <c r="AV320" s="5"/>
      <c r="AW320" s="1"/>
    </row>
    <row r="321" spans="1:49" x14ac:dyDescent="0.35">
      <c r="A321" s="33">
        <f t="shared" si="4"/>
        <v>43678</v>
      </c>
      <c r="B321" s="5">
        <v>50.4</v>
      </c>
      <c r="C321" s="5">
        <v>5934561.5099999998</v>
      </c>
      <c r="D321" s="5">
        <v>90568</v>
      </c>
      <c r="E321" s="5">
        <v>6323.2969999999996</v>
      </c>
      <c r="F321" s="5">
        <v>14261.962733890001</v>
      </c>
      <c r="G321" s="5">
        <v>1363.8</v>
      </c>
      <c r="H321" s="5">
        <v>2475.6</v>
      </c>
      <c r="I321" s="5">
        <v>10330</v>
      </c>
      <c r="J321" s="24">
        <v>3.0559426637467713</v>
      </c>
      <c r="K321" s="5">
        <v>14237</v>
      </c>
      <c r="L321" s="5">
        <v>5.5</v>
      </c>
      <c r="M321" s="5"/>
      <c r="N321" s="1"/>
      <c r="O321" s="5"/>
      <c r="P321" s="1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1"/>
      <c r="AF321" s="5"/>
      <c r="AG321" s="5"/>
      <c r="AH321" s="1"/>
      <c r="AI321" s="5"/>
      <c r="AJ321" s="5"/>
      <c r="AK321" s="5"/>
      <c r="AL321" s="1"/>
      <c r="AM321" s="5"/>
      <c r="AN321" s="5"/>
      <c r="AO321" s="1"/>
      <c r="AP321" s="5"/>
      <c r="AQ321" s="1"/>
      <c r="AR321" s="1"/>
      <c r="AS321" s="1"/>
      <c r="AT321" s="1"/>
      <c r="AU321" s="5"/>
      <c r="AV321" s="5"/>
      <c r="AW321" s="1"/>
    </row>
    <row r="322" spans="1:49" x14ac:dyDescent="0.35">
      <c r="A322" s="33">
        <f t="shared" si="4"/>
        <v>43709</v>
      </c>
      <c r="B322" s="5">
        <v>51</v>
      </c>
      <c r="C322" s="5">
        <v>6004277.1699999999</v>
      </c>
      <c r="D322" s="5">
        <v>93175</v>
      </c>
      <c r="E322" s="5">
        <v>6741.3580000000002</v>
      </c>
      <c r="F322" s="5">
        <v>14080.108446190001</v>
      </c>
      <c r="G322" s="5">
        <v>1407.5</v>
      </c>
      <c r="H322" s="5">
        <v>2594.4</v>
      </c>
      <c r="I322" s="5">
        <v>10261.5</v>
      </c>
      <c r="J322" s="24">
        <v>3.1221945137156935</v>
      </c>
      <c r="K322" s="5">
        <v>14174</v>
      </c>
      <c r="L322" s="5">
        <v>5.25</v>
      </c>
      <c r="M322" s="5"/>
      <c r="N322" s="1"/>
      <c r="O322" s="5"/>
      <c r="P322" s="1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1"/>
      <c r="AF322" s="5"/>
      <c r="AG322" s="5"/>
      <c r="AH322" s="1"/>
      <c r="AI322" s="5"/>
      <c r="AJ322" s="5"/>
      <c r="AK322" s="5"/>
      <c r="AL322" s="1"/>
      <c r="AM322" s="5"/>
      <c r="AN322" s="5"/>
      <c r="AO322" s="1"/>
      <c r="AP322" s="5"/>
      <c r="AQ322" s="1"/>
      <c r="AR322" s="1"/>
      <c r="AS322" s="1"/>
      <c r="AT322" s="1"/>
      <c r="AU322" s="5"/>
      <c r="AV322" s="5"/>
      <c r="AW322" s="1"/>
    </row>
    <row r="323" spans="1:49" x14ac:dyDescent="0.35">
      <c r="A323" s="33">
        <f t="shared" si="4"/>
        <v>43739</v>
      </c>
      <c r="B323" s="5">
        <v>51</v>
      </c>
      <c r="C323" s="5">
        <v>6026908.5</v>
      </c>
      <c r="D323" s="5">
        <v>96128</v>
      </c>
      <c r="E323" s="5">
        <v>7331.6670000000004</v>
      </c>
      <c r="F323" s="5">
        <v>14881.45685391</v>
      </c>
      <c r="G323" s="5">
        <v>1436.1</v>
      </c>
      <c r="H323" s="5">
        <v>2441.9</v>
      </c>
      <c r="I323" s="5">
        <v>10881.1</v>
      </c>
      <c r="J323" s="24">
        <v>2.8642466434609659</v>
      </c>
      <c r="K323" s="5">
        <v>14008</v>
      </c>
      <c r="L323" s="5">
        <v>5</v>
      </c>
      <c r="M323" s="5"/>
      <c r="N323" s="1"/>
      <c r="O323" s="5"/>
      <c r="P323" s="1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1"/>
      <c r="AF323" s="5"/>
      <c r="AG323" s="5"/>
      <c r="AH323" s="1"/>
      <c r="AI323" s="5"/>
      <c r="AJ323" s="5"/>
      <c r="AK323" s="5"/>
      <c r="AL323" s="1"/>
      <c r="AM323" s="5"/>
      <c r="AN323" s="5"/>
      <c r="AO323" s="1"/>
      <c r="AP323" s="5"/>
      <c r="AQ323" s="1"/>
      <c r="AR323" s="1"/>
      <c r="AS323" s="1"/>
      <c r="AT323" s="1"/>
      <c r="AU323" s="5"/>
      <c r="AV323" s="5"/>
      <c r="AW323" s="1"/>
    </row>
    <row r="324" spans="1:49" x14ac:dyDescent="0.35">
      <c r="A324" s="33">
        <f t="shared" ref="A324:A387" si="5">DATE(YEAR(A323),MONTH(A323)+1,1)</f>
        <v>43770</v>
      </c>
      <c r="B324" s="5">
        <v>51</v>
      </c>
      <c r="C324" s="5">
        <v>6074377.0199999996</v>
      </c>
      <c r="D324" s="5">
        <v>91240</v>
      </c>
      <c r="E324" s="5">
        <v>7092.9849999999997</v>
      </c>
      <c r="F324" s="5">
        <v>13944.486956680001</v>
      </c>
      <c r="G324" s="5">
        <v>1668</v>
      </c>
      <c r="H324" s="5">
        <v>2504.6999999999998</v>
      </c>
      <c r="I324" s="5">
        <v>11167.8</v>
      </c>
      <c r="J324" s="24">
        <v>2.6973423244744152</v>
      </c>
      <c r="K324" s="5">
        <v>14102</v>
      </c>
      <c r="L324" s="5">
        <v>5</v>
      </c>
      <c r="M324" s="5"/>
      <c r="N324" s="1"/>
      <c r="O324" s="5"/>
      <c r="P324" s="1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1"/>
      <c r="AF324" s="5"/>
      <c r="AG324" s="5"/>
      <c r="AH324" s="1"/>
      <c r="AI324" s="5"/>
      <c r="AJ324" s="5"/>
      <c r="AK324" s="5"/>
      <c r="AL324" s="1"/>
      <c r="AM324" s="5"/>
      <c r="AN324" s="5"/>
      <c r="AO324" s="1"/>
      <c r="AP324" s="5"/>
      <c r="AQ324" s="1"/>
      <c r="AR324" s="1"/>
      <c r="AS324" s="1"/>
      <c r="AT324" s="1"/>
      <c r="AU324" s="5"/>
      <c r="AV324" s="1"/>
      <c r="AW324" s="1"/>
    </row>
    <row r="325" spans="1:49" x14ac:dyDescent="0.35">
      <c r="A325" s="33">
        <f t="shared" si="5"/>
        <v>43800</v>
      </c>
      <c r="B325" s="5">
        <v>51</v>
      </c>
      <c r="C325" s="5">
        <v>6136776.54</v>
      </c>
      <c r="D325" s="5">
        <v>87664</v>
      </c>
      <c r="E325" s="5">
        <v>6542.4920000000002</v>
      </c>
      <c r="F325" s="5">
        <v>14428.8183051</v>
      </c>
      <c r="G325" s="5">
        <v>1651.9</v>
      </c>
      <c r="H325" s="5">
        <v>2452</v>
      </c>
      <c r="I325" s="5">
        <v>10402.9</v>
      </c>
      <c r="J325" s="24">
        <v>2.586121804362854</v>
      </c>
      <c r="K325" s="5">
        <v>13901.004999999999</v>
      </c>
      <c r="L325" s="5">
        <v>5</v>
      </c>
      <c r="M325" s="5"/>
      <c r="N325" s="1"/>
      <c r="O325" s="5"/>
      <c r="P325" s="1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1"/>
      <c r="AF325" s="5"/>
      <c r="AG325" s="5"/>
      <c r="AH325" s="1"/>
      <c r="AI325" s="5"/>
      <c r="AJ325" s="5"/>
      <c r="AK325" s="5"/>
      <c r="AL325" s="1"/>
      <c r="AM325" s="5"/>
      <c r="AN325" s="5"/>
      <c r="AO325" s="1"/>
      <c r="AP325" s="5"/>
      <c r="AQ325" s="1"/>
      <c r="AR325" s="1"/>
      <c r="AS325" s="1"/>
      <c r="AT325" s="1"/>
      <c r="AU325" s="5"/>
      <c r="AV325" s="1"/>
      <c r="AW325" s="1"/>
    </row>
    <row r="326" spans="1:49" x14ac:dyDescent="0.35">
      <c r="A326" s="33">
        <f t="shared" si="5"/>
        <v>43831</v>
      </c>
      <c r="B326" s="5">
        <v>51</v>
      </c>
      <c r="C326" s="5">
        <v>6047998.5599999996</v>
      </c>
      <c r="D326" s="5">
        <v>80435</v>
      </c>
      <c r="E326" s="5">
        <v>5178</v>
      </c>
      <c r="F326" s="5">
        <v>13636.41265362</v>
      </c>
      <c r="G326" s="5">
        <v>1467.2</v>
      </c>
      <c r="H326" s="5">
        <v>2231.8000000000002</v>
      </c>
      <c r="I326" s="5">
        <v>10569.7</v>
      </c>
      <c r="J326" s="24">
        <v>2.6769018797362465</v>
      </c>
      <c r="K326" s="5">
        <v>13662</v>
      </c>
      <c r="L326" s="5">
        <v>5</v>
      </c>
      <c r="M326" s="5"/>
      <c r="N326" s="1"/>
      <c r="O326" s="5"/>
      <c r="P326" s="1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1"/>
      <c r="AF326" s="5"/>
      <c r="AG326" s="5"/>
      <c r="AH326" s="1"/>
      <c r="AI326" s="5"/>
      <c r="AJ326" s="5"/>
      <c r="AK326" s="5"/>
      <c r="AL326" s="1"/>
      <c r="AM326" s="5"/>
      <c r="AN326" s="5"/>
      <c r="AO326" s="1"/>
      <c r="AP326" s="5"/>
      <c r="AQ326" s="1"/>
      <c r="AR326" s="1"/>
      <c r="AS326" s="1"/>
      <c r="AT326" s="1"/>
      <c r="AU326" s="5"/>
      <c r="AV326" s="1"/>
      <c r="AW326" s="1"/>
    </row>
    <row r="327" spans="1:49" x14ac:dyDescent="0.35">
      <c r="A327" s="33">
        <f t="shared" si="5"/>
        <v>43862</v>
      </c>
      <c r="B327" s="5">
        <v>44.6</v>
      </c>
      <c r="C327" s="5">
        <v>6118513.75</v>
      </c>
      <c r="D327" s="5">
        <v>79644</v>
      </c>
      <c r="E327" s="5">
        <v>4585</v>
      </c>
      <c r="F327" s="5">
        <v>14042.089243230001</v>
      </c>
      <c r="G327" s="5">
        <v>881.9</v>
      </c>
      <c r="H327" s="5">
        <v>1829.3</v>
      </c>
      <c r="I327" s="5">
        <v>8836.9</v>
      </c>
      <c r="J327" s="24">
        <v>2.9825770252977715</v>
      </c>
      <c r="K327" s="5">
        <v>14234</v>
      </c>
      <c r="L327" s="5">
        <v>4.75</v>
      </c>
      <c r="M327" s="5"/>
      <c r="N327" s="5"/>
      <c r="O327" s="5"/>
      <c r="P327" s="1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1"/>
      <c r="AF327" s="5"/>
      <c r="AG327" s="5"/>
      <c r="AH327" s="1"/>
      <c r="AI327" s="5"/>
      <c r="AJ327" s="5"/>
      <c r="AK327" s="5"/>
      <c r="AL327" s="1"/>
      <c r="AM327" s="5"/>
      <c r="AN327" s="5"/>
      <c r="AO327" s="1"/>
      <c r="AP327" s="5"/>
      <c r="AQ327" s="1"/>
      <c r="AR327" s="1"/>
      <c r="AS327" s="1"/>
      <c r="AT327" s="1"/>
      <c r="AU327" s="5"/>
      <c r="AV327" s="1"/>
      <c r="AW327" s="1"/>
    </row>
    <row r="328" spans="1:49" x14ac:dyDescent="0.35">
      <c r="A328" s="33">
        <f t="shared" si="5"/>
        <v>43891</v>
      </c>
      <c r="B328" s="5">
        <v>49.1</v>
      </c>
      <c r="C328" s="5">
        <v>6441495.2300000004</v>
      </c>
      <c r="D328" s="5">
        <v>76811</v>
      </c>
      <c r="E328" s="5">
        <v>4789</v>
      </c>
      <c r="F328" s="5">
        <v>14031.292077890001</v>
      </c>
      <c r="G328" s="5">
        <v>1269.3</v>
      </c>
      <c r="H328" s="5">
        <v>1800.9</v>
      </c>
      <c r="I328" s="5">
        <v>10282</v>
      </c>
      <c r="J328" s="24">
        <v>2.9593943565037995</v>
      </c>
      <c r="K328" s="5">
        <v>16367.004999999999</v>
      </c>
      <c r="L328" s="5">
        <v>4.5</v>
      </c>
      <c r="M328" s="5"/>
      <c r="N328" s="5"/>
      <c r="O328" s="5"/>
      <c r="P328" s="1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1"/>
      <c r="AF328" s="5"/>
      <c r="AG328" s="5"/>
      <c r="AH328" s="1"/>
      <c r="AI328" s="5"/>
      <c r="AJ328" s="5"/>
      <c r="AK328" s="5"/>
      <c r="AL328" s="1"/>
      <c r="AM328" s="5"/>
      <c r="AN328" s="5"/>
      <c r="AO328" s="1"/>
      <c r="AP328" s="5"/>
      <c r="AQ328" s="1"/>
      <c r="AR328" s="1"/>
      <c r="AS328" s="1"/>
      <c r="AT328" s="1"/>
      <c r="AU328" s="1"/>
      <c r="AV328" s="1"/>
      <c r="AW328" s="1"/>
    </row>
    <row r="329" spans="1:49" x14ac:dyDescent="0.35">
      <c r="A329" s="33">
        <f t="shared" si="5"/>
        <v>43922</v>
      </c>
      <c r="B329" s="5">
        <v>42.7</v>
      </c>
      <c r="C329" s="5">
        <v>6236651.0199999996</v>
      </c>
      <c r="D329" s="5">
        <v>7868</v>
      </c>
      <c r="E329" s="5">
        <v>4501</v>
      </c>
      <c r="F329" s="5">
        <v>12159.82454501</v>
      </c>
      <c r="G329" s="5">
        <v>1215</v>
      </c>
      <c r="H329" s="5">
        <v>1963.2</v>
      </c>
      <c r="I329" s="5">
        <v>9357</v>
      </c>
      <c r="J329" s="24">
        <v>2.6746350543744613</v>
      </c>
      <c r="K329" s="5">
        <v>15157.004999999999</v>
      </c>
      <c r="L329" s="5">
        <v>4.5</v>
      </c>
      <c r="M329" s="5"/>
      <c r="N329" s="5"/>
      <c r="O329" s="5"/>
      <c r="P329" s="1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1"/>
      <c r="AF329" s="5"/>
      <c r="AG329" s="5"/>
      <c r="AH329" s="1"/>
      <c r="AI329" s="5"/>
      <c r="AJ329" s="5"/>
      <c r="AK329" s="5"/>
      <c r="AL329" s="1"/>
      <c r="AM329" s="5"/>
      <c r="AN329" s="5"/>
      <c r="AO329" s="1"/>
      <c r="AP329" s="5"/>
      <c r="AQ329" s="1"/>
      <c r="AR329" s="1"/>
      <c r="AS329" s="1"/>
      <c r="AT329" s="1"/>
      <c r="AU329" s="1"/>
      <c r="AV329" s="1"/>
      <c r="AW329" s="1"/>
    </row>
    <row r="330" spans="1:49" x14ac:dyDescent="0.35">
      <c r="A330" s="33">
        <f t="shared" si="5"/>
        <v>43952</v>
      </c>
      <c r="B330" s="5">
        <v>45.4</v>
      </c>
      <c r="C330" s="5">
        <v>6465361.6299999999</v>
      </c>
      <c r="D330" s="5">
        <v>3551</v>
      </c>
      <c r="E330" s="5">
        <v>3092</v>
      </c>
      <c r="F330" s="5">
        <v>10452.62542479</v>
      </c>
      <c r="G330" s="5">
        <v>934.7</v>
      </c>
      <c r="H330" s="5">
        <v>1393.7</v>
      </c>
      <c r="I330" s="5">
        <v>6110.2</v>
      </c>
      <c r="J330" s="24">
        <v>2.1925550574936747</v>
      </c>
      <c r="K330" s="5">
        <v>14733.004999999999</v>
      </c>
      <c r="L330" s="5">
        <v>4.5</v>
      </c>
      <c r="M330" s="5"/>
      <c r="N330" s="5"/>
      <c r="O330" s="5"/>
      <c r="P330" s="1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1"/>
      <c r="AF330" s="5"/>
      <c r="AG330" s="5"/>
      <c r="AH330" s="1"/>
      <c r="AI330" s="5"/>
      <c r="AJ330" s="5"/>
      <c r="AK330" s="5"/>
      <c r="AL330" s="1"/>
      <c r="AM330" s="5"/>
      <c r="AN330" s="5"/>
      <c r="AO330" s="1"/>
      <c r="AP330" s="5"/>
      <c r="AQ330" s="1"/>
      <c r="AR330" s="1"/>
      <c r="AS330" s="1"/>
      <c r="AT330" s="1"/>
      <c r="AU330" s="5"/>
      <c r="AV330" s="1"/>
      <c r="AW330" s="1"/>
    </row>
    <row r="331" spans="1:49" x14ac:dyDescent="0.35">
      <c r="A331" s="33">
        <f t="shared" si="5"/>
        <v>43983</v>
      </c>
      <c r="B331" s="5">
        <v>49.6</v>
      </c>
      <c r="C331" s="5">
        <v>6391611.8600000003</v>
      </c>
      <c r="D331" s="5">
        <v>12623</v>
      </c>
      <c r="E331" s="5">
        <v>4877</v>
      </c>
      <c r="F331" s="5">
        <v>12006.8136127</v>
      </c>
      <c r="G331" s="5">
        <v>1408</v>
      </c>
      <c r="H331" s="5">
        <v>1775</v>
      </c>
      <c r="I331" s="5">
        <v>7577.3</v>
      </c>
      <c r="J331" s="24">
        <v>1.960403726708063</v>
      </c>
      <c r="K331" s="5">
        <v>14302</v>
      </c>
      <c r="L331" s="5">
        <v>4.25</v>
      </c>
      <c r="M331" s="5"/>
      <c r="N331" s="5"/>
      <c r="O331" s="5"/>
      <c r="P331" s="1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1"/>
      <c r="AF331" s="5"/>
      <c r="AG331" s="5"/>
      <c r="AH331" s="1"/>
      <c r="AI331" s="5"/>
      <c r="AJ331" s="5"/>
      <c r="AK331" s="5"/>
      <c r="AL331" s="1"/>
      <c r="AM331" s="5"/>
      <c r="AN331" s="5"/>
      <c r="AO331" s="1"/>
      <c r="AP331" s="5"/>
      <c r="AQ331" s="1"/>
      <c r="AR331" s="1"/>
      <c r="AS331" s="1"/>
      <c r="AT331" s="1"/>
      <c r="AU331" s="5"/>
      <c r="AV331" s="1"/>
      <c r="AW331" s="1"/>
    </row>
    <row r="332" spans="1:49" x14ac:dyDescent="0.35">
      <c r="A332" s="33">
        <f t="shared" si="5"/>
        <v>44013</v>
      </c>
      <c r="B332" s="5">
        <v>51.4</v>
      </c>
      <c r="C332" s="5">
        <v>6566671.3399999999</v>
      </c>
      <c r="D332" s="5">
        <v>25285</v>
      </c>
      <c r="E332" s="5">
        <v>5434</v>
      </c>
      <c r="F332" s="5">
        <v>13689.902558809999</v>
      </c>
      <c r="G332" s="5">
        <v>1112.2</v>
      </c>
      <c r="H332" s="5">
        <v>1966.9</v>
      </c>
      <c r="I332" s="5">
        <v>7385.2</v>
      </c>
      <c r="J332" s="24">
        <v>1.538312693498465</v>
      </c>
      <c r="K332" s="5">
        <v>14653.004999999999</v>
      </c>
      <c r="L332" s="5">
        <v>4</v>
      </c>
      <c r="M332" s="5"/>
      <c r="N332" s="1"/>
      <c r="O332" s="5"/>
      <c r="P332" s="1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1"/>
      <c r="AF332" s="5"/>
      <c r="AG332" s="5"/>
      <c r="AH332" s="1"/>
      <c r="AI332" s="5"/>
      <c r="AJ332" s="5"/>
      <c r="AK332" s="5"/>
      <c r="AL332" s="1"/>
      <c r="AM332" s="1"/>
      <c r="AN332" s="5"/>
      <c r="AO332" s="1"/>
      <c r="AP332" s="5"/>
      <c r="AQ332" s="1"/>
      <c r="AR332" s="1"/>
      <c r="AS332" s="1"/>
      <c r="AT332" s="1"/>
      <c r="AU332" s="1"/>
      <c r="AV332" s="1"/>
      <c r="AW332" s="1"/>
    </row>
    <row r="333" spans="1:49" x14ac:dyDescent="0.35">
      <c r="A333" s="33">
        <f t="shared" si="5"/>
        <v>44044</v>
      </c>
      <c r="B333" s="5">
        <v>52.5</v>
      </c>
      <c r="C333" s="5">
        <v>6730993.7400000002</v>
      </c>
      <c r="D333" s="5">
        <v>37277</v>
      </c>
      <c r="E333" s="5">
        <v>5845</v>
      </c>
      <c r="F333" s="5">
        <v>13055.281120719999</v>
      </c>
      <c r="G333" s="5">
        <v>1193.8</v>
      </c>
      <c r="H333" s="5">
        <v>1793.6</v>
      </c>
      <c r="I333" s="5">
        <v>7755</v>
      </c>
      <c r="J333" s="24">
        <v>1.3232879358640199</v>
      </c>
      <c r="K333" s="5">
        <v>14554</v>
      </c>
      <c r="L333" s="5">
        <v>4</v>
      </c>
      <c r="M333" s="5"/>
      <c r="N333" s="1"/>
      <c r="O333" s="5"/>
      <c r="P333" s="1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1"/>
      <c r="AF333" s="5"/>
      <c r="AG333" s="5"/>
      <c r="AH333" s="1"/>
      <c r="AI333" s="5"/>
      <c r="AJ333" s="5"/>
      <c r="AK333" s="5"/>
      <c r="AL333" s="1"/>
      <c r="AM333" s="1"/>
      <c r="AN333" s="5"/>
      <c r="AO333" s="1"/>
      <c r="AP333" s="5"/>
      <c r="AQ333" s="1"/>
      <c r="AR333" s="1"/>
      <c r="AS333" s="1"/>
      <c r="AT333" s="1"/>
      <c r="AU333" s="1"/>
      <c r="AV333" s="1"/>
      <c r="AW333" s="1"/>
    </row>
    <row r="334" spans="1:49" x14ac:dyDescent="0.35">
      <c r="A334" s="33">
        <f t="shared" si="5"/>
        <v>44075</v>
      </c>
      <c r="B334" s="5">
        <v>52.8</v>
      </c>
      <c r="C334" s="5">
        <v>6748814.3399999999</v>
      </c>
      <c r="D334" s="5">
        <v>48554</v>
      </c>
      <c r="E334" s="5">
        <v>6179</v>
      </c>
      <c r="F334" s="5">
        <v>13956.17657188</v>
      </c>
      <c r="G334" s="5">
        <v>1120.8</v>
      </c>
      <c r="H334" s="5">
        <v>2134.1999999999998</v>
      </c>
      <c r="I334" s="5">
        <v>8315.1</v>
      </c>
      <c r="J334" s="24">
        <v>1.421938479396414</v>
      </c>
      <c r="K334" s="5">
        <v>14918</v>
      </c>
      <c r="L334" s="5">
        <v>4</v>
      </c>
      <c r="M334" s="5"/>
      <c r="N334" s="1"/>
      <c r="O334" s="5"/>
      <c r="P334" s="1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1"/>
      <c r="AF334" s="5"/>
      <c r="AG334" s="5"/>
      <c r="AH334" s="1"/>
      <c r="AI334" s="5"/>
      <c r="AJ334" s="5"/>
      <c r="AK334" s="5"/>
      <c r="AL334" s="1"/>
      <c r="AM334" s="1"/>
      <c r="AN334" s="5"/>
      <c r="AO334" s="1"/>
      <c r="AP334" s="5"/>
      <c r="AQ334" s="1"/>
      <c r="AR334" s="1"/>
      <c r="AS334" s="1"/>
      <c r="AT334" s="1"/>
      <c r="AU334" s="1"/>
      <c r="AV334" s="1"/>
      <c r="AW334" s="1"/>
    </row>
    <row r="335" spans="1:49" x14ac:dyDescent="0.35">
      <c r="A335" s="33">
        <f t="shared" si="5"/>
        <v>44105</v>
      </c>
      <c r="B335" s="5">
        <v>53.4</v>
      </c>
      <c r="C335" s="5">
        <v>6782146.9800000004</v>
      </c>
      <c r="D335" s="5">
        <v>49018</v>
      </c>
      <c r="E335" s="5">
        <v>6218</v>
      </c>
      <c r="F335" s="5">
        <v>14363.44325144</v>
      </c>
      <c r="G335" s="5">
        <v>1036.2</v>
      </c>
      <c r="H335" s="5">
        <v>1849.9</v>
      </c>
      <c r="I335" s="5">
        <v>7899.9</v>
      </c>
      <c r="J335" s="24">
        <v>1.4405878371845739</v>
      </c>
      <c r="K335" s="5">
        <v>14690</v>
      </c>
      <c r="L335" s="5">
        <v>4</v>
      </c>
      <c r="M335" s="5"/>
      <c r="N335" s="1"/>
      <c r="O335" s="5"/>
      <c r="P335" s="1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1"/>
      <c r="AF335" s="5"/>
      <c r="AG335" s="5"/>
      <c r="AH335" s="1"/>
      <c r="AI335" s="5"/>
      <c r="AJ335" s="5"/>
      <c r="AK335" s="5"/>
      <c r="AL335" s="1"/>
      <c r="AM335" s="1"/>
      <c r="AN335" s="5"/>
      <c r="AO335" s="1"/>
      <c r="AP335" s="5"/>
      <c r="AQ335" s="1"/>
      <c r="AR335" s="1"/>
      <c r="AS335" s="1"/>
      <c r="AT335" s="1"/>
      <c r="AU335" s="1"/>
      <c r="AV335" s="1"/>
      <c r="AW335" s="1"/>
    </row>
    <row r="336" spans="1:49" x14ac:dyDescent="0.35">
      <c r="A336" s="33">
        <f t="shared" si="5"/>
        <v>44136</v>
      </c>
      <c r="B336" s="5">
        <v>53.9</v>
      </c>
      <c r="C336" s="5">
        <v>6821198.0599999996</v>
      </c>
      <c r="D336" s="5">
        <v>53834</v>
      </c>
      <c r="E336" s="5">
        <v>6065</v>
      </c>
      <c r="F336" s="5">
        <v>15258.42204309</v>
      </c>
      <c r="G336" s="5">
        <v>1300.9000000000001</v>
      </c>
      <c r="H336" s="5">
        <v>2434.8000000000002</v>
      </c>
      <c r="I336" s="5">
        <v>8928.7000000000007</v>
      </c>
      <c r="J336" s="24">
        <v>1.5932792584009174</v>
      </c>
      <c r="K336" s="5">
        <v>14128</v>
      </c>
      <c r="L336" s="5">
        <v>3.75</v>
      </c>
      <c r="M336" s="5"/>
      <c r="N336" s="1"/>
      <c r="O336" s="5"/>
      <c r="P336" s="1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1"/>
      <c r="AF336" s="5"/>
      <c r="AG336" s="5"/>
      <c r="AH336" s="1"/>
      <c r="AI336" s="5"/>
      <c r="AJ336" s="5"/>
      <c r="AK336" s="5"/>
      <c r="AL336" s="1"/>
      <c r="AM336" s="1"/>
      <c r="AN336" s="5"/>
      <c r="AO336" s="1"/>
      <c r="AP336" s="5"/>
      <c r="AQ336" s="1"/>
      <c r="AR336" s="1"/>
      <c r="AS336" s="1"/>
      <c r="AT336" s="1"/>
      <c r="AU336" s="1"/>
      <c r="AV336" s="1"/>
      <c r="AW336" s="1"/>
    </row>
    <row r="337" spans="1:49" x14ac:dyDescent="0.35">
      <c r="A337" s="33">
        <f t="shared" si="5"/>
        <v>44166</v>
      </c>
      <c r="B337" s="5">
        <v>52.8</v>
      </c>
      <c r="C337" s="5">
        <v>6905939.2999999998</v>
      </c>
      <c r="D337" s="5">
        <v>57507</v>
      </c>
      <c r="E337" s="5">
        <v>5746</v>
      </c>
      <c r="F337" s="5">
        <v>16539.555059639999</v>
      </c>
      <c r="G337" s="5">
        <v>1716</v>
      </c>
      <c r="H337" s="5">
        <v>2529.6999999999998</v>
      </c>
      <c r="I337" s="5">
        <v>10192.700000000001</v>
      </c>
      <c r="J337" s="24">
        <v>1.6838256518810724</v>
      </c>
      <c r="K337" s="5">
        <v>14105.004999999999</v>
      </c>
      <c r="L337" s="5">
        <v>3.75</v>
      </c>
      <c r="M337" s="5"/>
      <c r="N337" s="1"/>
      <c r="O337" s="5"/>
      <c r="P337" s="1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1"/>
      <c r="AF337" s="5"/>
      <c r="AG337" s="5"/>
      <c r="AH337" s="1"/>
      <c r="AI337" s="5"/>
      <c r="AJ337" s="5"/>
      <c r="AK337" s="5"/>
      <c r="AL337" s="1"/>
      <c r="AM337" s="1"/>
      <c r="AN337" s="5"/>
      <c r="AO337" s="1"/>
      <c r="AP337" s="5"/>
      <c r="AQ337" s="1"/>
      <c r="AR337" s="1"/>
      <c r="AS337" s="1"/>
      <c r="AT337" s="1"/>
      <c r="AU337" s="1"/>
      <c r="AV337" s="1"/>
      <c r="AW337" s="1"/>
    </row>
    <row r="338" spans="1:49" x14ac:dyDescent="0.35">
      <c r="A338" s="33">
        <f t="shared" si="5"/>
        <v>44197</v>
      </c>
      <c r="B338" s="5">
        <v>52.1</v>
      </c>
      <c r="C338" s="5">
        <v>6767407.6480999999</v>
      </c>
      <c r="D338" s="5">
        <v>52909</v>
      </c>
      <c r="E338" s="5">
        <v>4785</v>
      </c>
      <c r="F338" s="5">
        <v>15293.7</v>
      </c>
      <c r="G338" s="5">
        <v>1432.2</v>
      </c>
      <c r="H338" s="5">
        <v>1973.6</v>
      </c>
      <c r="I338" s="5">
        <v>9924.1</v>
      </c>
      <c r="J338" s="24">
        <v>1.5527652640659462</v>
      </c>
      <c r="K338" s="5">
        <v>14084</v>
      </c>
      <c r="L338" s="5">
        <v>3.75</v>
      </c>
      <c r="M338" s="5"/>
      <c r="N338" s="1"/>
      <c r="O338" s="5"/>
      <c r="P338" s="1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1"/>
      <c r="AF338" s="5"/>
      <c r="AG338" s="5"/>
      <c r="AH338" s="1"/>
      <c r="AI338" s="5"/>
      <c r="AJ338" s="5"/>
      <c r="AK338" s="5"/>
      <c r="AL338" s="1"/>
      <c r="AM338" s="1"/>
      <c r="AN338" s="5"/>
      <c r="AO338" s="1"/>
      <c r="AP338" s="5"/>
      <c r="AQ338" s="1"/>
      <c r="AR338" s="1"/>
      <c r="AS338" s="1"/>
      <c r="AT338" s="1"/>
      <c r="AU338" s="1"/>
      <c r="AV338" s="1"/>
      <c r="AW338" s="1"/>
    </row>
    <row r="339" spans="1:49" x14ac:dyDescent="0.35">
      <c r="A339" s="33">
        <f t="shared" si="5"/>
        <v>44228</v>
      </c>
      <c r="B339" s="5">
        <v>51.6</v>
      </c>
      <c r="C339" s="5">
        <v>6817787.9060000004</v>
      </c>
      <c r="D339" s="5">
        <v>49202</v>
      </c>
      <c r="E339" s="5">
        <v>4528</v>
      </c>
      <c r="F339" s="5">
        <v>15256.1</v>
      </c>
      <c r="G339" s="5">
        <v>1240.4000000000001</v>
      </c>
      <c r="H339" s="5">
        <v>2152.6999999999998</v>
      </c>
      <c r="I339" s="5">
        <v>9871.9</v>
      </c>
      <c r="J339" s="24">
        <v>1.376409864270687</v>
      </c>
      <c r="K339" s="5">
        <v>14229.004999999999</v>
      </c>
      <c r="L339" s="5">
        <v>3.5</v>
      </c>
      <c r="M339" s="5"/>
      <c r="N339" s="1"/>
      <c r="O339" s="5"/>
      <c r="P339" s="1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1"/>
      <c r="AF339" s="5"/>
      <c r="AG339" s="5"/>
      <c r="AH339" s="1"/>
      <c r="AI339" s="5"/>
      <c r="AJ339" s="5"/>
      <c r="AK339" s="5"/>
      <c r="AL339" s="1"/>
      <c r="AM339" s="1"/>
      <c r="AN339" s="5"/>
      <c r="AO339" s="1"/>
      <c r="AP339" s="5"/>
      <c r="AQ339" s="1"/>
      <c r="AR339" s="1"/>
      <c r="AS339" s="1"/>
      <c r="AT339" s="1"/>
      <c r="AU339" s="1"/>
      <c r="AV339" s="1"/>
      <c r="AW339" s="1"/>
    </row>
    <row r="340" spans="1:49" x14ac:dyDescent="0.35">
      <c r="A340" s="33">
        <f t="shared" si="5"/>
        <v>44256</v>
      </c>
      <c r="B340" s="5">
        <v>51.3</v>
      </c>
      <c r="C340" s="5">
        <v>6895564.1188000003</v>
      </c>
      <c r="D340" s="5">
        <v>84915</v>
      </c>
      <c r="E340" s="5">
        <v>5242</v>
      </c>
      <c r="F340" s="5">
        <v>18354.5</v>
      </c>
      <c r="G340" s="5">
        <v>1443.3</v>
      </c>
      <c r="H340" s="5">
        <v>2407.9</v>
      </c>
      <c r="I340" s="5">
        <v>12936.3</v>
      </c>
      <c r="J340" s="24">
        <v>1.3655462184873917</v>
      </c>
      <c r="K340" s="5">
        <v>14572</v>
      </c>
      <c r="L340" s="5">
        <v>3.5</v>
      </c>
      <c r="M340" s="5"/>
      <c r="N340" s="1"/>
      <c r="O340" s="5"/>
      <c r="P340" s="1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1"/>
      <c r="AF340" s="5"/>
      <c r="AG340" s="5"/>
      <c r="AH340" s="1"/>
      <c r="AI340" s="5"/>
      <c r="AJ340" s="5"/>
      <c r="AK340" s="5"/>
      <c r="AL340" s="1"/>
      <c r="AM340" s="1"/>
      <c r="AN340" s="5"/>
      <c r="AO340" s="1"/>
      <c r="AP340" s="5"/>
      <c r="AQ340" s="1"/>
      <c r="AR340" s="1"/>
      <c r="AS340" s="1"/>
      <c r="AT340" s="1"/>
      <c r="AU340" s="1"/>
      <c r="AV340" s="1"/>
      <c r="AW340" s="1"/>
    </row>
    <row r="341" spans="1:49" x14ac:dyDescent="0.35">
      <c r="A341" s="33">
        <f t="shared" si="5"/>
        <v>44287</v>
      </c>
      <c r="B341" s="5">
        <v>52.2</v>
      </c>
      <c r="C341" s="5">
        <v>6964386.4943000004</v>
      </c>
      <c r="D341" s="5">
        <v>78908</v>
      </c>
      <c r="E341" s="5">
        <v>4819</v>
      </c>
      <c r="F341" s="5">
        <v>18490.7</v>
      </c>
      <c r="G341" s="5">
        <v>1629.6</v>
      </c>
      <c r="H341" s="5">
        <v>2194.6</v>
      </c>
      <c r="I341" s="5">
        <v>12380.1</v>
      </c>
      <c r="J341" s="24">
        <v>1.4217557251908441</v>
      </c>
      <c r="K341" s="5">
        <v>14468</v>
      </c>
      <c r="L341" s="5">
        <v>3.5</v>
      </c>
      <c r="M341" s="5"/>
      <c r="N341" s="1"/>
      <c r="O341" s="5"/>
      <c r="P341" s="1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1"/>
      <c r="AF341" s="5"/>
      <c r="AG341" s="5"/>
      <c r="AH341" s="1"/>
      <c r="AI341" s="5"/>
      <c r="AJ341" s="5"/>
      <c r="AK341" s="5"/>
      <c r="AL341" s="1"/>
      <c r="AM341" s="1"/>
      <c r="AN341" s="5"/>
      <c r="AO341" s="1"/>
      <c r="AP341" s="5"/>
      <c r="AQ341" s="1"/>
      <c r="AR341" s="1"/>
      <c r="AS341" s="1"/>
      <c r="AT341" s="1"/>
      <c r="AU341" s="1"/>
      <c r="AV341" s="1"/>
      <c r="AW341" s="1"/>
    </row>
    <row r="342" spans="1:49" x14ac:dyDescent="0.35">
      <c r="A342" s="33">
        <f t="shared" si="5"/>
        <v>44317</v>
      </c>
      <c r="B342" s="5">
        <v>52</v>
      </c>
      <c r="C342" s="5">
        <v>7004093.0763999997</v>
      </c>
      <c r="D342" s="5">
        <v>54812</v>
      </c>
      <c r="E342" s="5">
        <v>3629</v>
      </c>
      <c r="F342" s="5">
        <v>16932.900000000001</v>
      </c>
      <c r="G342" s="5">
        <v>1405.5</v>
      </c>
      <c r="H342" s="5">
        <v>1885.4</v>
      </c>
      <c r="I342" s="5">
        <v>10943.9</v>
      </c>
      <c r="J342" s="24">
        <v>1.6782683322208245</v>
      </c>
      <c r="K342" s="5">
        <v>14310</v>
      </c>
      <c r="L342" s="5">
        <v>3.5</v>
      </c>
      <c r="M342" s="5"/>
      <c r="N342" s="1"/>
      <c r="O342" s="5"/>
      <c r="P342" s="1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1"/>
      <c r="AF342" s="5"/>
      <c r="AG342" s="5"/>
      <c r="AH342" s="1"/>
      <c r="AI342" s="5"/>
      <c r="AJ342" s="5"/>
      <c r="AK342" s="5"/>
      <c r="AL342" s="1"/>
      <c r="AM342" s="1"/>
      <c r="AN342" s="5"/>
      <c r="AO342" s="1"/>
      <c r="AP342" s="5"/>
      <c r="AQ342" s="1"/>
      <c r="AR342" s="1"/>
      <c r="AS342" s="1"/>
      <c r="AT342" s="1"/>
      <c r="AU342" s="1"/>
      <c r="AV342" s="1"/>
      <c r="AW342" s="1"/>
    </row>
    <row r="343" spans="1:49" x14ac:dyDescent="0.35">
      <c r="A343" s="33">
        <f t="shared" si="5"/>
        <v>44348</v>
      </c>
      <c r="B343" s="5">
        <v>51.3</v>
      </c>
      <c r="C343" s="5">
        <v>7130061.4186000004</v>
      </c>
      <c r="D343" s="5">
        <v>72720</v>
      </c>
      <c r="E343" s="5">
        <v>5463</v>
      </c>
      <c r="F343" s="5">
        <v>18542.400000000001</v>
      </c>
      <c r="G343" s="5">
        <v>1643.6</v>
      </c>
      <c r="H343" s="5">
        <v>2545.6</v>
      </c>
      <c r="I343" s="5">
        <v>13029.3</v>
      </c>
      <c r="J343" s="24">
        <v>1.3325718636969279</v>
      </c>
      <c r="K343" s="5">
        <v>14496</v>
      </c>
      <c r="L343" s="5">
        <v>3.5</v>
      </c>
      <c r="M343" s="5"/>
      <c r="N343" s="1"/>
      <c r="O343" s="5"/>
      <c r="P343" s="1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1"/>
      <c r="AF343" s="5"/>
      <c r="AG343" s="5"/>
      <c r="AH343" s="1"/>
      <c r="AI343" s="5"/>
      <c r="AJ343" s="5"/>
      <c r="AK343" s="5"/>
      <c r="AL343" s="1"/>
      <c r="AM343" s="1"/>
      <c r="AN343" s="5"/>
      <c r="AO343" s="1"/>
      <c r="AP343" s="5"/>
      <c r="AQ343" s="1"/>
      <c r="AR343" s="1"/>
      <c r="AS343" s="1"/>
      <c r="AT343" s="1"/>
      <c r="AU343" s="1"/>
      <c r="AV343" s="1"/>
      <c r="AW343" s="1"/>
    </row>
    <row r="344" spans="1:49" x14ac:dyDescent="0.35">
      <c r="A344" s="33">
        <f t="shared" si="5"/>
        <v>44378</v>
      </c>
      <c r="B344" s="5">
        <v>50.6</v>
      </c>
      <c r="C344" s="5">
        <v>7160560.3326000003</v>
      </c>
      <c r="D344" s="5">
        <v>66639</v>
      </c>
      <c r="E344" s="5">
        <v>5387</v>
      </c>
      <c r="F344" s="5">
        <v>17713.099999999999</v>
      </c>
      <c r="G344" s="5">
        <v>1627.8</v>
      </c>
      <c r="H344" s="5">
        <v>2076.9</v>
      </c>
      <c r="I344" s="5">
        <v>11558.4</v>
      </c>
      <c r="J344" s="24">
        <v>1.5150071462601213</v>
      </c>
      <c r="K344" s="5">
        <v>14491.004999999999</v>
      </c>
      <c r="L344" s="5">
        <v>3.5</v>
      </c>
      <c r="M344" s="5"/>
      <c r="N344" s="1"/>
      <c r="O344" s="5"/>
      <c r="P344" s="1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1"/>
      <c r="AF344" s="5"/>
      <c r="AG344" s="5"/>
      <c r="AH344" s="1"/>
      <c r="AI344" s="5"/>
      <c r="AJ344" s="5"/>
      <c r="AK344" s="5"/>
      <c r="AL344" s="1"/>
      <c r="AM344" s="1"/>
      <c r="AN344" s="5"/>
      <c r="AO344" s="1"/>
      <c r="AP344" s="5"/>
      <c r="AQ344" s="1"/>
      <c r="AR344" s="1"/>
      <c r="AS344" s="1"/>
      <c r="AT344" s="1"/>
      <c r="AU344" s="1"/>
      <c r="AV344" s="1"/>
      <c r="AW344" s="1"/>
    </row>
    <row r="345" spans="1:49" x14ac:dyDescent="0.35">
      <c r="A345" s="33">
        <f t="shared" si="5"/>
        <v>44409</v>
      </c>
      <c r="B345" s="5">
        <v>49.6</v>
      </c>
      <c r="C345" s="5">
        <v>7211500.7197000002</v>
      </c>
      <c r="D345" s="5">
        <v>83319</v>
      </c>
      <c r="E345" s="5">
        <v>5868</v>
      </c>
      <c r="F345" s="5">
        <v>23099.8</v>
      </c>
      <c r="G345" s="5">
        <v>1889.2</v>
      </c>
      <c r="H345" s="5">
        <v>2413.4</v>
      </c>
      <c r="I345" s="5">
        <v>12376.3</v>
      </c>
      <c r="J345" s="24">
        <v>1.591992373689211</v>
      </c>
      <c r="K345" s="5">
        <v>14374</v>
      </c>
      <c r="L345" s="5">
        <v>3.5</v>
      </c>
      <c r="M345" s="5"/>
      <c r="N345" s="1"/>
      <c r="O345" s="5"/>
      <c r="P345" s="1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1"/>
      <c r="AF345" s="5"/>
      <c r="AG345" s="5"/>
      <c r="AH345" s="1"/>
      <c r="AI345" s="5"/>
      <c r="AJ345" s="5"/>
      <c r="AK345" s="5"/>
      <c r="AL345" s="1"/>
      <c r="AM345" s="1"/>
      <c r="AN345" s="5"/>
      <c r="AO345" s="1"/>
      <c r="AP345" s="5"/>
      <c r="AQ345" s="1"/>
      <c r="AR345" s="1"/>
      <c r="AS345" s="1"/>
      <c r="AT345" s="1"/>
      <c r="AU345" s="1"/>
      <c r="AV345" s="1"/>
      <c r="AW345" s="1"/>
    </row>
    <row r="346" spans="1:49" x14ac:dyDescent="0.35">
      <c r="A346" s="33">
        <f t="shared" si="5"/>
        <v>44440</v>
      </c>
      <c r="B346" s="5">
        <v>50.8</v>
      </c>
      <c r="C346" s="5">
        <v>7300920.6358000003</v>
      </c>
      <c r="D346" s="5">
        <v>84113</v>
      </c>
      <c r="E346" s="5">
        <v>6302</v>
      </c>
      <c r="F346" s="5">
        <v>20605.599999999999</v>
      </c>
      <c r="G346" s="5">
        <v>1789.6</v>
      </c>
      <c r="H346" s="5">
        <v>2349.1</v>
      </c>
      <c r="I346" s="5">
        <v>12095.4</v>
      </c>
      <c r="J346" s="24">
        <v>1.6022889842632275</v>
      </c>
      <c r="K346" s="5">
        <v>14307.004999999999</v>
      </c>
      <c r="L346" s="5">
        <v>3.5</v>
      </c>
      <c r="M346" s="5"/>
      <c r="N346" s="1"/>
      <c r="O346" s="5"/>
      <c r="P346" s="1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1"/>
      <c r="AF346" s="5"/>
      <c r="AG346" s="5"/>
      <c r="AH346" s="1"/>
      <c r="AI346" s="5"/>
      <c r="AJ346" s="5"/>
      <c r="AK346" s="5"/>
      <c r="AL346" s="1"/>
      <c r="AM346" s="1"/>
      <c r="AN346" s="5"/>
      <c r="AO346" s="1"/>
      <c r="AP346" s="5"/>
      <c r="AQ346" s="1"/>
      <c r="AR346" s="1"/>
      <c r="AS346" s="1"/>
      <c r="AT346" s="1"/>
      <c r="AU346" s="1"/>
      <c r="AV346" s="1"/>
      <c r="AW346" s="1"/>
    </row>
    <row r="347" spans="1:49" x14ac:dyDescent="0.35">
      <c r="A347" s="33">
        <f t="shared" si="5"/>
        <v>44470</v>
      </c>
      <c r="B347" s="5">
        <v>51.6</v>
      </c>
      <c r="C347" s="5">
        <v>7491704.3761</v>
      </c>
      <c r="D347" s="5">
        <v>75555</v>
      </c>
      <c r="E347" s="5">
        <v>6424</v>
      </c>
      <c r="F347" s="5">
        <v>22029.7</v>
      </c>
      <c r="G347" s="5">
        <v>1589.7</v>
      </c>
      <c r="H347" s="5">
        <v>2394.1999999999998</v>
      </c>
      <c r="I347" s="5">
        <v>12309.7</v>
      </c>
      <c r="J347" s="24">
        <v>1.6584064048798957</v>
      </c>
      <c r="K347" s="5">
        <v>14199.004999999999</v>
      </c>
      <c r="L347" s="5">
        <v>3.5</v>
      </c>
      <c r="M347" s="5"/>
      <c r="N347" s="1"/>
      <c r="O347" s="5"/>
      <c r="P347" s="1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1"/>
      <c r="AF347" s="5"/>
      <c r="AG347" s="5"/>
      <c r="AH347" s="1"/>
      <c r="AI347" s="5"/>
      <c r="AJ347" s="5"/>
      <c r="AK347" s="5"/>
      <c r="AL347" s="1"/>
      <c r="AM347" s="1"/>
      <c r="AN347" s="5"/>
      <c r="AO347" s="1"/>
      <c r="AP347" s="5"/>
      <c r="AQ347" s="1"/>
      <c r="AR347" s="1"/>
      <c r="AS347" s="1"/>
      <c r="AT347" s="1"/>
      <c r="AU347" s="1"/>
      <c r="AV347" s="1"/>
      <c r="AW347" s="1"/>
    </row>
    <row r="348" spans="1:49" x14ac:dyDescent="0.35">
      <c r="A348" s="33">
        <f t="shared" si="5"/>
        <v>44501</v>
      </c>
      <c r="B348" s="5">
        <v>51.2</v>
      </c>
      <c r="C348" s="5">
        <v>7573319.8980999999</v>
      </c>
      <c r="D348" s="5">
        <v>87437</v>
      </c>
      <c r="E348" s="5">
        <v>5827</v>
      </c>
      <c r="F348" s="5">
        <v>22844.400000000001</v>
      </c>
      <c r="G348" s="5">
        <v>2001.5</v>
      </c>
      <c r="H348" s="5">
        <v>2996.9</v>
      </c>
      <c r="I348" s="5">
        <v>14329.8</v>
      </c>
      <c r="J348" s="24">
        <v>1.7488831860089451</v>
      </c>
      <c r="K348" s="5">
        <v>14340</v>
      </c>
      <c r="L348" s="5">
        <v>3.5</v>
      </c>
      <c r="M348" s="5"/>
      <c r="N348" s="1"/>
      <c r="O348" s="5"/>
      <c r="P348" s="1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1"/>
      <c r="AF348" s="5"/>
      <c r="AG348" s="5"/>
      <c r="AH348" s="1"/>
      <c r="AI348" s="5"/>
      <c r="AJ348" s="5"/>
      <c r="AK348" s="5"/>
      <c r="AL348" s="1"/>
      <c r="AM348" s="1"/>
      <c r="AN348" s="5"/>
      <c r="AO348" s="1"/>
      <c r="AP348" s="5"/>
      <c r="AQ348" s="1"/>
      <c r="AR348" s="1"/>
      <c r="AS348" s="1"/>
      <c r="AT348" s="1"/>
      <c r="AU348" s="1"/>
      <c r="AV348" s="1"/>
      <c r="AW348" s="1"/>
    </row>
    <row r="349" spans="1:49" x14ac:dyDescent="0.35">
      <c r="A349" s="33">
        <f t="shared" si="5"/>
        <v>44531</v>
      </c>
      <c r="B349" s="5">
        <v>51.7</v>
      </c>
      <c r="C349" s="5">
        <v>7870452.8529000003</v>
      </c>
      <c r="D349" s="5">
        <v>96673</v>
      </c>
      <c r="E349" s="5">
        <v>5662</v>
      </c>
      <c r="F349" s="5">
        <v>22359.599999999999</v>
      </c>
      <c r="G349" s="5">
        <v>2490.5</v>
      </c>
      <c r="H349" s="5">
        <v>3236.5</v>
      </c>
      <c r="I349" s="5">
        <v>15625</v>
      </c>
      <c r="J349" s="24">
        <v>1.8735806207418506</v>
      </c>
      <c r="K349" s="5">
        <v>14269.004999999999</v>
      </c>
      <c r="L349" s="5">
        <v>3.5</v>
      </c>
      <c r="M349" s="5"/>
      <c r="N349" s="1"/>
      <c r="O349" s="5"/>
      <c r="P349" s="1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1"/>
      <c r="AF349" s="5"/>
      <c r="AG349" s="5"/>
      <c r="AH349" s="1"/>
      <c r="AI349" s="5"/>
      <c r="AJ349" s="5"/>
      <c r="AK349" s="5"/>
      <c r="AL349" s="1"/>
      <c r="AM349" s="1"/>
      <c r="AN349" s="5"/>
      <c r="AO349" s="1"/>
      <c r="AP349" s="5"/>
      <c r="AQ349" s="1"/>
      <c r="AR349" s="1"/>
      <c r="AS349" s="1"/>
      <c r="AT349" s="1"/>
      <c r="AU349" s="1"/>
      <c r="AV349" s="1"/>
      <c r="AW349" s="1"/>
    </row>
    <row r="350" spans="1:49" x14ac:dyDescent="0.35">
      <c r="A350" s="33">
        <f t="shared" si="5"/>
        <v>44562</v>
      </c>
      <c r="B350" s="5">
        <v>50</v>
      </c>
      <c r="C350" s="5">
        <v>7646789.1900000004</v>
      </c>
      <c r="D350" s="5">
        <v>84149</v>
      </c>
      <c r="E350" s="5">
        <v>5729</v>
      </c>
      <c r="F350" s="5">
        <v>19143.2</v>
      </c>
      <c r="G350" s="5">
        <v>1579.1</v>
      </c>
      <c r="H350" s="5">
        <v>2801.3</v>
      </c>
      <c r="I350" s="5">
        <v>13830.7</v>
      </c>
      <c r="J350" s="24">
        <v>2.1802737140160469</v>
      </c>
      <c r="K350" s="5">
        <v>14381.004999999999</v>
      </c>
      <c r="L350" s="5">
        <v>3.5</v>
      </c>
      <c r="M350" s="5"/>
      <c r="N350" s="1"/>
      <c r="O350" s="5"/>
      <c r="P350" s="1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1"/>
      <c r="AF350" s="5"/>
      <c r="AG350" s="5"/>
      <c r="AH350" s="1"/>
      <c r="AI350" s="5"/>
      <c r="AJ350" s="5"/>
      <c r="AK350" s="5"/>
      <c r="AL350" s="1"/>
      <c r="AM350" s="1"/>
      <c r="AN350" s="5"/>
      <c r="AO350" s="1"/>
      <c r="AP350" s="5"/>
      <c r="AQ350" s="1"/>
      <c r="AR350" s="1"/>
      <c r="AS350" s="1"/>
      <c r="AT350" s="1"/>
      <c r="AU350" s="1"/>
      <c r="AV350" s="1"/>
      <c r="AW350" s="1"/>
    </row>
    <row r="351" spans="1:49" x14ac:dyDescent="0.35">
      <c r="A351" s="33">
        <f t="shared" si="5"/>
        <v>44593</v>
      </c>
      <c r="B351" s="5">
        <v>50.9</v>
      </c>
      <c r="C351" s="5">
        <v>7690134.5</v>
      </c>
      <c r="D351" s="5">
        <v>80995</v>
      </c>
      <c r="E351" s="5">
        <v>4606</v>
      </c>
      <c r="F351" s="5">
        <v>20489.099999999999</v>
      </c>
      <c r="G351" s="5">
        <v>1202.7</v>
      </c>
      <c r="H351" s="5">
        <v>2604.4</v>
      </c>
      <c r="I351" s="5">
        <v>12831.5</v>
      </c>
      <c r="J351" s="24">
        <v>2.0010660328270045</v>
      </c>
      <c r="K351" s="5">
        <v>14371.004999999999</v>
      </c>
      <c r="L351" s="5">
        <v>3.5</v>
      </c>
      <c r="M351" s="5"/>
      <c r="N351" s="1"/>
      <c r="O351" s="5"/>
      <c r="P351" s="1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1"/>
      <c r="AF351" s="5"/>
      <c r="AG351" s="5"/>
      <c r="AH351" s="1"/>
      <c r="AI351" s="5"/>
      <c r="AJ351" s="5"/>
      <c r="AK351" s="5"/>
      <c r="AL351" s="1"/>
      <c r="AM351" s="1"/>
      <c r="AN351" s="5"/>
      <c r="AO351" s="1"/>
      <c r="AP351" s="5"/>
      <c r="AQ351" s="1"/>
      <c r="AR351" s="1"/>
      <c r="AS351" s="1"/>
      <c r="AT351" s="1"/>
      <c r="AU351" s="1"/>
      <c r="AV351" s="1"/>
      <c r="AW351" s="1"/>
    </row>
    <row r="352" spans="1:49" x14ac:dyDescent="0.35">
      <c r="A352" s="33">
        <f t="shared" si="5"/>
        <v>44621</v>
      </c>
      <c r="B352" s="5">
        <v>49.2</v>
      </c>
      <c r="C352" s="5">
        <v>7810949.3200000003</v>
      </c>
      <c r="D352" s="5">
        <v>98535</v>
      </c>
      <c r="E352" s="5">
        <v>5376</v>
      </c>
      <c r="F352" s="5">
        <v>26586.7</v>
      </c>
      <c r="G352" s="5">
        <v>1814.3</v>
      </c>
      <c r="H352" s="5">
        <v>3133.2</v>
      </c>
      <c r="I352" s="5">
        <v>17014.900000000001</v>
      </c>
      <c r="J352" s="24">
        <v>2.520844848229312</v>
      </c>
      <c r="K352" s="5">
        <v>14349.004999999999</v>
      </c>
      <c r="L352" s="5">
        <v>3.5</v>
      </c>
      <c r="M352" s="5"/>
      <c r="N352" s="1"/>
      <c r="O352" s="5"/>
      <c r="P352" s="1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1"/>
      <c r="AF352" s="5"/>
      <c r="AG352" s="5"/>
      <c r="AH352" s="1"/>
      <c r="AI352" s="5"/>
      <c r="AJ352" s="5"/>
      <c r="AK352" s="5"/>
      <c r="AL352" s="1"/>
      <c r="AM352" s="1"/>
      <c r="AN352" s="5"/>
      <c r="AO352" s="1"/>
      <c r="AP352" s="5"/>
      <c r="AQ352" s="1"/>
      <c r="AR352" s="1"/>
      <c r="AS352" s="1"/>
      <c r="AT352" s="1"/>
      <c r="AU352" s="1"/>
      <c r="AV352" s="1"/>
      <c r="AW352" s="1"/>
    </row>
    <row r="353" spans="1:49" x14ac:dyDescent="0.35">
      <c r="A353" s="33">
        <f t="shared" si="5"/>
        <v>44652</v>
      </c>
      <c r="B353" s="5">
        <v>48.1</v>
      </c>
      <c r="C353" s="5">
        <v>7911484.4900000002</v>
      </c>
      <c r="D353" s="5">
        <v>82731</v>
      </c>
      <c r="E353" s="5">
        <v>4323</v>
      </c>
      <c r="F353" s="5">
        <v>27316.2</v>
      </c>
      <c r="G353" s="5">
        <v>1698.4</v>
      </c>
      <c r="H353" s="5">
        <v>2527.1999999999998</v>
      </c>
      <c r="I353" s="5">
        <v>15531.9</v>
      </c>
      <c r="J353" s="24">
        <v>3.3357592990716793</v>
      </c>
      <c r="K353" s="5">
        <v>14418</v>
      </c>
      <c r="L353" s="5">
        <v>3.5</v>
      </c>
      <c r="M353" s="5"/>
      <c r="N353" s="1"/>
      <c r="O353" s="5"/>
      <c r="P353" s="1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1"/>
      <c r="AF353" s="5"/>
      <c r="AG353" s="5"/>
      <c r="AH353" s="1"/>
      <c r="AI353" s="5"/>
      <c r="AJ353" s="5"/>
      <c r="AK353" s="5"/>
      <c r="AL353" s="1"/>
      <c r="AM353" s="1"/>
      <c r="AN353" s="5"/>
      <c r="AO353" s="1"/>
      <c r="AP353" s="5"/>
      <c r="AQ353" s="1"/>
      <c r="AR353" s="1"/>
      <c r="AS353" s="1"/>
      <c r="AT353" s="1"/>
      <c r="AU353" s="1"/>
      <c r="AV353" s="1"/>
      <c r="AW353" s="1"/>
    </row>
    <row r="354" spans="1:49" x14ac:dyDescent="0.35">
      <c r="A354" s="33">
        <f t="shared" si="5"/>
        <v>44682</v>
      </c>
      <c r="B354" s="5">
        <v>49.5</v>
      </c>
      <c r="C354" s="5">
        <v>7854186.71</v>
      </c>
      <c r="D354" s="5">
        <v>49710</v>
      </c>
      <c r="E354" s="5">
        <v>3905</v>
      </c>
      <c r="F354" s="5">
        <v>21493.3</v>
      </c>
      <c r="G354" s="5">
        <v>1515.4</v>
      </c>
      <c r="H354" s="5">
        <v>2435.6999999999998</v>
      </c>
      <c r="I354" s="5">
        <v>14658.2</v>
      </c>
      <c r="J354" s="24">
        <v>3.401680819531252</v>
      </c>
      <c r="K354" s="5">
        <v>14544</v>
      </c>
      <c r="L354" s="5">
        <v>3.5</v>
      </c>
      <c r="M354" s="5"/>
      <c r="N354" s="1"/>
      <c r="O354" s="5"/>
      <c r="P354" s="1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1"/>
      <c r="AF354" s="5"/>
      <c r="AG354" s="5"/>
      <c r="AH354" s="1"/>
      <c r="AI354" s="5"/>
      <c r="AJ354" s="5"/>
      <c r="AK354" s="5"/>
      <c r="AL354" s="1"/>
      <c r="AM354" s="1"/>
      <c r="AN354" s="5"/>
      <c r="AO354" s="1"/>
      <c r="AP354" s="5"/>
      <c r="AQ354" s="1"/>
      <c r="AR354" s="1"/>
      <c r="AS354" s="1"/>
      <c r="AT354" s="1"/>
      <c r="AU354" s="1"/>
      <c r="AV354" s="1"/>
      <c r="AW354" s="1"/>
    </row>
    <row r="355" spans="1:49" x14ac:dyDescent="0.35">
      <c r="A355" s="33">
        <f t="shared" si="5"/>
        <v>44713</v>
      </c>
      <c r="B355" s="5">
        <v>51.7</v>
      </c>
      <c r="C355" s="5">
        <v>7890747.0099999998</v>
      </c>
      <c r="D355" s="5">
        <v>78910</v>
      </c>
      <c r="E355" s="5">
        <v>5350</v>
      </c>
      <c r="F355" s="5">
        <v>26141.047863070002</v>
      </c>
      <c r="G355" s="5">
        <v>1697.9</v>
      </c>
      <c r="H355" s="5">
        <v>3076.4</v>
      </c>
      <c r="I355" s="5">
        <v>16229.6</v>
      </c>
      <c r="J355" s="24">
        <v>4.3693173767487181</v>
      </c>
      <c r="K355" s="5">
        <v>14848</v>
      </c>
      <c r="L355" s="5">
        <v>3.5</v>
      </c>
      <c r="M355" s="5"/>
      <c r="N355" s="1"/>
      <c r="O355" s="5"/>
      <c r="P355" s="1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1"/>
      <c r="AF355" s="5"/>
      <c r="AG355" s="5"/>
      <c r="AH355" s="1"/>
      <c r="AI355" s="5"/>
      <c r="AJ355" s="5"/>
      <c r="AK355" s="5"/>
      <c r="AL355" s="1"/>
      <c r="AM355" s="1"/>
      <c r="AN355" s="5"/>
      <c r="AO355" s="1"/>
      <c r="AP355" s="5"/>
      <c r="AQ355" s="1"/>
      <c r="AR355" s="1"/>
      <c r="AS355" s="1"/>
      <c r="AT355" s="1"/>
      <c r="AU355" s="1"/>
      <c r="AV355" s="1"/>
      <c r="AW355" s="1"/>
    </row>
    <row r="356" spans="1:49" x14ac:dyDescent="0.35">
      <c r="A356" s="33">
        <f t="shared" si="5"/>
        <v>44743</v>
      </c>
      <c r="B356" s="5">
        <v>50.8</v>
      </c>
      <c r="C356" s="5">
        <v>7845551.9100000001</v>
      </c>
      <c r="D356" s="5">
        <v>86245</v>
      </c>
      <c r="E356" s="5">
        <v>5155</v>
      </c>
      <c r="F356" s="5">
        <v>25473.423788560001</v>
      </c>
      <c r="G356" s="5">
        <v>1648.8</v>
      </c>
      <c r="H356" s="5">
        <v>2997.5</v>
      </c>
      <c r="I356" s="5">
        <v>16698.7</v>
      </c>
      <c r="J356" s="24">
        <v>4.9262327034261268</v>
      </c>
      <c r="K356" s="5">
        <v>14958</v>
      </c>
      <c r="L356" s="5">
        <v>3.5</v>
      </c>
      <c r="M356" s="5"/>
      <c r="N356" s="1"/>
      <c r="O356" s="5"/>
      <c r="P356" s="1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1"/>
      <c r="AF356" s="5"/>
      <c r="AG356" s="5"/>
      <c r="AH356" s="1"/>
      <c r="AI356" s="5"/>
      <c r="AJ356" s="5"/>
      <c r="AK356" s="5"/>
      <c r="AL356" s="1"/>
      <c r="AM356" s="1"/>
      <c r="AN356" s="5"/>
      <c r="AO356" s="1"/>
      <c r="AP356" s="5"/>
      <c r="AQ356" s="1"/>
      <c r="AR356" s="1"/>
      <c r="AS356" s="1"/>
      <c r="AT356" s="1"/>
      <c r="AU356" s="1"/>
      <c r="AV356" s="1"/>
      <c r="AW356" s="1"/>
    </row>
    <row r="357" spans="1:49" x14ac:dyDescent="0.35">
      <c r="A357" s="33">
        <f t="shared" si="5"/>
        <v>44774</v>
      </c>
      <c r="B357" s="5">
        <v>50.2</v>
      </c>
      <c r="C357" s="5">
        <v>7897628.21</v>
      </c>
      <c r="D357" s="5">
        <v>96956</v>
      </c>
      <c r="E357" s="5">
        <v>5722</v>
      </c>
      <c r="F357" s="5">
        <v>27928.702416470001</v>
      </c>
      <c r="G357" s="5">
        <v>1851.3</v>
      </c>
      <c r="H357" s="5">
        <v>3541.5</v>
      </c>
      <c r="I357" s="5">
        <v>16757.8</v>
      </c>
      <c r="J357" s="24">
        <v>4.5322900387649394</v>
      </c>
      <c r="K357" s="5">
        <v>14875.004999999999</v>
      </c>
      <c r="L357" s="5">
        <v>3.75</v>
      </c>
      <c r="M357" s="5"/>
      <c r="N357" s="1"/>
      <c r="O357" s="5"/>
      <c r="P357" s="1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1"/>
      <c r="AF357" s="5"/>
      <c r="AG357" s="5"/>
      <c r="AH357" s="1"/>
      <c r="AI357" s="5"/>
      <c r="AJ357" s="5"/>
      <c r="AK357" s="5"/>
      <c r="AL357" s="1"/>
      <c r="AM357" s="1"/>
      <c r="AN357" s="5"/>
      <c r="AO357" s="1"/>
      <c r="AP357" s="5"/>
      <c r="AQ357" s="1"/>
      <c r="AR357" s="1"/>
      <c r="AS357" s="1"/>
      <c r="AT357" s="1"/>
      <c r="AU357" s="1"/>
      <c r="AV357" s="1"/>
      <c r="AW357" s="1"/>
    </row>
    <row r="358" spans="1:49" x14ac:dyDescent="0.35">
      <c r="A358" s="33">
        <f t="shared" si="5"/>
        <v>44805</v>
      </c>
      <c r="B358" s="5">
        <v>49.4</v>
      </c>
      <c r="C358" s="5">
        <v>7962693.3600000003</v>
      </c>
      <c r="D358" s="5">
        <v>99986</v>
      </c>
      <c r="E358" s="5">
        <v>5861</v>
      </c>
      <c r="F358" s="5">
        <v>24764.54840231</v>
      </c>
      <c r="G358" s="5">
        <v>1589.9</v>
      </c>
      <c r="H358" s="5">
        <v>3315.3</v>
      </c>
      <c r="I358" s="5">
        <v>14903.3</v>
      </c>
      <c r="J358" s="24">
        <v>5.9151384077560563</v>
      </c>
      <c r="K358" s="5">
        <v>15247</v>
      </c>
      <c r="L358" s="5">
        <v>4.25</v>
      </c>
      <c r="M358" s="5"/>
      <c r="N358" s="1"/>
      <c r="O358" s="5"/>
      <c r="P358" s="1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1"/>
      <c r="AF358" s="5"/>
      <c r="AG358" s="5"/>
      <c r="AH358" s="1"/>
      <c r="AI358" s="5"/>
      <c r="AJ358" s="5"/>
      <c r="AK358" s="5"/>
      <c r="AL358" s="1"/>
      <c r="AM358" s="1"/>
      <c r="AN358" s="5"/>
      <c r="AO358" s="1"/>
      <c r="AP358" s="5"/>
      <c r="AQ358" s="1"/>
      <c r="AR358" s="1"/>
      <c r="AS358" s="1"/>
      <c r="AT358" s="1"/>
      <c r="AU358" s="1"/>
      <c r="AV358" s="1"/>
      <c r="AW358" s="1"/>
    </row>
    <row r="359" spans="1:49" x14ac:dyDescent="0.35">
      <c r="A359" s="33">
        <f t="shared" si="5"/>
        <v>44835</v>
      </c>
      <c r="B359" s="5">
        <v>49.8</v>
      </c>
      <c r="C359" s="5">
        <v>8223055.0199999996</v>
      </c>
      <c r="D359" s="5">
        <v>93194</v>
      </c>
      <c r="E359" s="5">
        <v>5328</v>
      </c>
      <c r="F359" s="5">
        <v>24726.28788082</v>
      </c>
      <c r="G359" s="5">
        <v>1750.9</v>
      </c>
      <c r="H359" s="5">
        <v>3075.9</v>
      </c>
      <c r="I359" s="5">
        <v>14308.6</v>
      </c>
      <c r="J359" s="24">
        <v>5.6404071016455681</v>
      </c>
      <c r="K359" s="5">
        <v>15542</v>
      </c>
      <c r="L359" s="5">
        <v>4.75</v>
      </c>
      <c r="M359" s="5"/>
      <c r="N359" s="1"/>
      <c r="O359" s="5"/>
      <c r="P359" s="1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1"/>
      <c r="AF359" s="5"/>
      <c r="AG359" s="5"/>
      <c r="AH359" s="1"/>
      <c r="AI359" s="5"/>
      <c r="AJ359" s="5"/>
      <c r="AK359" s="5"/>
      <c r="AL359" s="1"/>
      <c r="AM359" s="1"/>
      <c r="AN359" s="5"/>
      <c r="AO359" s="1"/>
      <c r="AP359" s="5"/>
      <c r="AQ359" s="1"/>
      <c r="AR359" s="1"/>
      <c r="AS359" s="1"/>
      <c r="AT359" s="1"/>
      <c r="AU359" s="1"/>
      <c r="AV359" s="1"/>
      <c r="AW359" s="1"/>
    </row>
    <row r="360" spans="1:49" x14ac:dyDescent="0.35">
      <c r="A360" s="33">
        <f t="shared" si="5"/>
        <v>44866</v>
      </c>
      <c r="B360" s="5">
        <v>49.7</v>
      </c>
      <c r="C360" s="5">
        <v>8297349.5099999998</v>
      </c>
      <c r="D360" s="5">
        <v>91275</v>
      </c>
      <c r="E360" s="5">
        <v>5433</v>
      </c>
      <c r="F360" s="5">
        <v>24059.10795605</v>
      </c>
      <c r="G360" s="5">
        <v>1677.2</v>
      </c>
      <c r="H360" s="5">
        <v>3215.7</v>
      </c>
      <c r="I360" s="5">
        <v>14069.2</v>
      </c>
      <c r="J360" s="24">
        <v>5.3902861486480349</v>
      </c>
      <c r="K360" s="5">
        <v>15737</v>
      </c>
      <c r="L360" s="5">
        <v>5.25</v>
      </c>
      <c r="M360" s="5"/>
      <c r="N360" s="1"/>
      <c r="O360" s="5"/>
      <c r="P360" s="1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1"/>
      <c r="AF360" s="5"/>
      <c r="AG360" s="5"/>
      <c r="AH360" s="1"/>
      <c r="AI360" s="5"/>
      <c r="AJ360" s="5"/>
      <c r="AK360" s="5"/>
      <c r="AL360" s="1"/>
      <c r="AM360" s="1"/>
      <c r="AN360" s="5"/>
      <c r="AO360" s="1"/>
      <c r="AP360" s="5"/>
      <c r="AQ360" s="1"/>
      <c r="AR360" s="1"/>
      <c r="AS360" s="1"/>
      <c r="AT360" s="1"/>
      <c r="AU360" s="1"/>
      <c r="AV360" s="1"/>
      <c r="AW360" s="1"/>
    </row>
    <row r="361" spans="1:49" x14ac:dyDescent="0.35">
      <c r="A361" s="33">
        <f t="shared" si="5"/>
        <v>44896</v>
      </c>
      <c r="B361" s="5">
        <v>49.8</v>
      </c>
      <c r="C361" s="5">
        <v>8528022.3100000005</v>
      </c>
      <c r="D361" s="5">
        <v>105354</v>
      </c>
      <c r="E361" s="5">
        <v>5456</v>
      </c>
      <c r="F361" s="5">
        <v>23782.717779850002</v>
      </c>
      <c r="G361" s="5">
        <v>1806.9</v>
      </c>
      <c r="H361" s="5">
        <v>3630.6</v>
      </c>
      <c r="I361" s="5">
        <v>14425.9</v>
      </c>
      <c r="J361" s="24">
        <v>5.411516572001144</v>
      </c>
      <c r="K361" s="5">
        <v>15731</v>
      </c>
      <c r="L361" s="5">
        <v>5.5</v>
      </c>
      <c r="M361" s="5"/>
      <c r="N361" s="1"/>
      <c r="O361" s="5"/>
      <c r="P361" s="1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1"/>
      <c r="AF361" s="5"/>
      <c r="AG361" s="5"/>
      <c r="AH361" s="1"/>
      <c r="AI361" s="5"/>
      <c r="AJ361" s="5"/>
      <c r="AK361" s="5"/>
      <c r="AL361" s="1"/>
      <c r="AM361" s="1"/>
      <c r="AN361" s="5"/>
      <c r="AO361" s="1"/>
      <c r="AP361" s="5"/>
      <c r="AQ361" s="1"/>
      <c r="AR361" s="1"/>
      <c r="AS361" s="1"/>
      <c r="AT361" s="1"/>
      <c r="AU361" s="1"/>
      <c r="AV361" s="1"/>
      <c r="AW361" s="1"/>
    </row>
    <row r="362" spans="1:49" x14ac:dyDescent="0.35">
      <c r="A362" s="33">
        <f t="shared" si="5"/>
        <v>44927</v>
      </c>
      <c r="B362" s="5">
        <v>49.9</v>
      </c>
      <c r="C362" s="5">
        <v>8271838.0977999996</v>
      </c>
      <c r="D362" s="5">
        <v>94270</v>
      </c>
      <c r="E362" s="5">
        <v>4908</v>
      </c>
      <c r="F362" s="5">
        <v>22323.843853750001</v>
      </c>
      <c r="G362" s="5">
        <v>1596.2</v>
      </c>
      <c r="H362" s="5">
        <v>2959.8</v>
      </c>
      <c r="I362" s="5">
        <v>13886.9</v>
      </c>
      <c r="J362" s="24">
        <v>5.104027877421343</v>
      </c>
      <c r="K362" s="5">
        <v>14979</v>
      </c>
      <c r="L362" s="5">
        <v>5.75</v>
      </c>
      <c r="M362" s="5"/>
      <c r="N362" s="1"/>
      <c r="O362" s="5"/>
      <c r="P362" s="1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1"/>
      <c r="AF362" s="5"/>
      <c r="AG362" s="5"/>
      <c r="AH362" s="1"/>
      <c r="AI362" s="5"/>
      <c r="AJ362" s="5"/>
      <c r="AK362" s="5"/>
      <c r="AL362" s="1"/>
      <c r="AM362" s="1"/>
      <c r="AN362" s="5"/>
      <c r="AO362" s="1"/>
      <c r="AP362" s="5"/>
      <c r="AQ362" s="1"/>
      <c r="AR362" s="1"/>
      <c r="AS362" s="1"/>
      <c r="AT362" s="1"/>
      <c r="AU362" s="1"/>
      <c r="AV362" s="1"/>
      <c r="AW362" s="1"/>
    </row>
    <row r="363" spans="1:49" x14ac:dyDescent="0.35">
      <c r="A363" s="33">
        <f t="shared" si="5"/>
        <v>44958</v>
      </c>
      <c r="B363" s="5">
        <v>51.6</v>
      </c>
      <c r="C363" s="5">
        <v>8300648.3739999998</v>
      </c>
      <c r="D363" s="5">
        <v>87059</v>
      </c>
      <c r="E363" s="5">
        <v>4489</v>
      </c>
      <c r="F363" s="5">
        <v>21321.27549498</v>
      </c>
      <c r="G363" s="5">
        <v>1364.1</v>
      </c>
      <c r="H363" s="5">
        <v>2763.2</v>
      </c>
      <c r="I363" s="5">
        <v>11791.9</v>
      </c>
      <c r="J363" s="24">
        <v>5.384615384615385</v>
      </c>
      <c r="K363" s="5">
        <v>15274</v>
      </c>
      <c r="L363" s="5">
        <v>5.75</v>
      </c>
      <c r="M363" s="5"/>
      <c r="N363" s="1"/>
      <c r="O363" s="5"/>
      <c r="P363" s="1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1"/>
      <c r="AF363" s="5"/>
      <c r="AG363" s="5"/>
      <c r="AH363" s="1"/>
      <c r="AI363" s="5"/>
      <c r="AJ363" s="5"/>
      <c r="AK363" s="5"/>
      <c r="AL363" s="1"/>
      <c r="AM363" s="1"/>
      <c r="AN363" s="5"/>
      <c r="AO363" s="1"/>
      <c r="AP363" s="5"/>
      <c r="AQ363" s="1"/>
      <c r="AR363" s="1"/>
      <c r="AS363" s="1"/>
      <c r="AT363" s="1"/>
      <c r="AU363" s="1"/>
      <c r="AV363" s="1"/>
      <c r="AW363" s="1"/>
    </row>
    <row r="364" spans="1:49" x14ac:dyDescent="0.35">
      <c r="A364" s="33">
        <f t="shared" si="5"/>
        <v>44986</v>
      </c>
      <c r="B364" s="5">
        <v>50.7</v>
      </c>
      <c r="C364" s="5">
        <v>8293283.2271999996</v>
      </c>
      <c r="D364" s="5">
        <v>101272</v>
      </c>
      <c r="E364" s="5">
        <v>4872</v>
      </c>
      <c r="F364" s="5">
        <v>23415.993725519998</v>
      </c>
      <c r="G364" s="5">
        <v>1761.5</v>
      </c>
      <c r="H364" s="5">
        <v>3712.4</v>
      </c>
      <c r="I364" s="5">
        <v>15114.2</v>
      </c>
      <c r="J364" s="24">
        <v>5.0061174551386589</v>
      </c>
      <c r="K364" s="5">
        <v>15062</v>
      </c>
      <c r="L364" s="5">
        <v>5.75</v>
      </c>
      <c r="M364" s="5"/>
      <c r="N364" s="1"/>
      <c r="O364" s="5"/>
      <c r="P364" s="1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1"/>
      <c r="AF364" s="5"/>
      <c r="AG364" s="5"/>
      <c r="AH364" s="1"/>
      <c r="AI364" s="5"/>
      <c r="AJ364" s="5"/>
      <c r="AK364" s="5"/>
      <c r="AL364" s="1"/>
      <c r="AM364" s="1"/>
      <c r="AN364" s="5"/>
      <c r="AO364" s="1"/>
      <c r="AP364" s="5"/>
      <c r="AQ364" s="1"/>
      <c r="AR364" s="1"/>
      <c r="AS364" s="1"/>
      <c r="AT364" s="1"/>
      <c r="AU364" s="1"/>
      <c r="AV364" s="1"/>
      <c r="AW364" s="1"/>
    </row>
    <row r="365" spans="1:49" x14ac:dyDescent="0.35">
      <c r="A365" s="33">
        <f t="shared" si="5"/>
        <v>45017</v>
      </c>
      <c r="B365" s="5">
        <v>50.5</v>
      </c>
      <c r="C365" s="5">
        <v>8352349.6756999996</v>
      </c>
      <c r="D365" s="5">
        <v>58981</v>
      </c>
      <c r="E365" s="5">
        <v>2984</v>
      </c>
      <c r="F365" s="5">
        <v>19284.07511677</v>
      </c>
      <c r="G365" s="5">
        <v>1398.1</v>
      </c>
      <c r="H365" s="5">
        <v>2351.6</v>
      </c>
      <c r="I365" s="5">
        <v>11597.9</v>
      </c>
      <c r="J365" s="24">
        <v>4.3539751490049525</v>
      </c>
      <c r="K365" s="5">
        <v>14751</v>
      </c>
      <c r="L365" s="5">
        <v>5.75</v>
      </c>
      <c r="M365" s="5"/>
      <c r="N365" s="1"/>
      <c r="O365" s="5"/>
      <c r="P365" s="1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1"/>
      <c r="AF365" s="5"/>
      <c r="AG365" s="5"/>
      <c r="AH365" s="1"/>
      <c r="AI365" s="5"/>
      <c r="AJ365" s="5"/>
      <c r="AK365" s="5"/>
      <c r="AL365" s="1"/>
      <c r="AM365" s="1"/>
      <c r="AN365" s="5"/>
      <c r="AO365" s="1"/>
      <c r="AP365" s="5"/>
      <c r="AQ365" s="1"/>
      <c r="AR365" s="1"/>
      <c r="AS365" s="1"/>
      <c r="AT365" s="1"/>
      <c r="AU365" s="1"/>
      <c r="AV365" s="1"/>
      <c r="AW365" s="1"/>
    </row>
    <row r="366" spans="1:49" x14ac:dyDescent="0.35">
      <c r="A366" s="33">
        <f t="shared" si="5"/>
        <v>45047</v>
      </c>
      <c r="B366" s="5">
        <v>51.4</v>
      </c>
      <c r="C366" s="5">
        <v>8336170.7884999998</v>
      </c>
      <c r="D366" s="5">
        <v>82189</v>
      </c>
      <c r="E366" s="5">
        <v>4876</v>
      </c>
      <c r="F366" s="5">
        <v>21706.833522649998</v>
      </c>
      <c r="G366" s="5">
        <v>2068.6</v>
      </c>
      <c r="H366" s="5">
        <v>3904.4</v>
      </c>
      <c r="I366" s="5">
        <v>15306.6</v>
      </c>
      <c r="J366" s="24">
        <v>4.0857401630270722</v>
      </c>
      <c r="K366" s="5">
        <v>14969</v>
      </c>
      <c r="L366" s="5">
        <v>5.75</v>
      </c>
      <c r="M366" s="5"/>
      <c r="N366" s="1"/>
      <c r="O366" s="5"/>
      <c r="P366" s="1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1"/>
      <c r="AF366" s="5"/>
      <c r="AG366" s="5"/>
      <c r="AH366" s="1"/>
      <c r="AI366" s="5"/>
      <c r="AJ366" s="5"/>
      <c r="AK366" s="5"/>
      <c r="AL366" s="1"/>
      <c r="AM366" s="1"/>
      <c r="AN366" s="5"/>
      <c r="AO366" s="1"/>
      <c r="AP366" s="5"/>
      <c r="AQ366" s="1"/>
      <c r="AR366" s="1"/>
      <c r="AS366" s="1"/>
      <c r="AT366" s="1"/>
      <c r="AU366" s="1"/>
      <c r="AV366" s="1"/>
      <c r="AW366" s="1"/>
    </row>
    <row r="367" spans="1:49" x14ac:dyDescent="0.35">
      <c r="A367" s="33">
        <f t="shared" si="5"/>
        <v>45078</v>
      </c>
      <c r="B367" s="5">
        <v>51.1</v>
      </c>
      <c r="C367" s="5">
        <v>8372990.3208999997</v>
      </c>
      <c r="D367" s="5">
        <v>82656</v>
      </c>
      <c r="E367" s="5">
        <v>5291</v>
      </c>
      <c r="F367" s="5">
        <v>20599</v>
      </c>
      <c r="G367" s="5">
        <v>1586</v>
      </c>
      <c r="H367" s="5">
        <v>3202.6</v>
      </c>
      <c r="I367" s="5">
        <v>12361.9</v>
      </c>
      <c r="J367" s="24">
        <v>3.5350509286998268</v>
      </c>
      <c r="K367" s="5">
        <v>15026</v>
      </c>
      <c r="L367" s="5">
        <v>5.75</v>
      </c>
      <c r="M367" s="5"/>
      <c r="N367" s="1"/>
      <c r="O367" s="5"/>
      <c r="P367" s="1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1"/>
      <c r="AF367" s="5"/>
      <c r="AG367" s="5"/>
      <c r="AH367" s="1"/>
      <c r="AI367" s="5"/>
      <c r="AJ367" s="5"/>
      <c r="AK367" s="5"/>
      <c r="AL367" s="1"/>
      <c r="AM367" s="1"/>
      <c r="AN367" s="5"/>
      <c r="AO367" s="1"/>
      <c r="AP367" s="5"/>
      <c r="AQ367" s="1"/>
      <c r="AR367" s="1"/>
      <c r="AS367" s="1"/>
      <c r="AT367" s="1"/>
      <c r="AU367" s="1"/>
      <c r="AV367" s="1"/>
      <c r="AW367" s="1"/>
    </row>
    <row r="368" spans="1:49" x14ac:dyDescent="0.35">
      <c r="A368" s="33">
        <f t="shared" si="5"/>
        <v>45108</v>
      </c>
      <c r="B368" s="5">
        <v>50.2</v>
      </c>
      <c r="C368" s="5">
        <v>8349492.3222000003</v>
      </c>
      <c r="D368" s="5">
        <v>80504</v>
      </c>
      <c r="E368" s="5">
        <v>5805</v>
      </c>
      <c r="F368" s="5">
        <v>20861.3</v>
      </c>
      <c r="G368" s="5">
        <v>2588</v>
      </c>
      <c r="H368" s="5">
        <v>3562.7</v>
      </c>
      <c r="I368" s="5">
        <v>13915.8</v>
      </c>
      <c r="J368" s="24">
        <v>3.1066997518610378</v>
      </c>
      <c r="K368" s="5">
        <v>15083</v>
      </c>
      <c r="L368" s="5">
        <v>5.75</v>
      </c>
      <c r="M368" s="5"/>
      <c r="N368" s="1"/>
      <c r="O368" s="5"/>
      <c r="P368" s="1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1"/>
      <c r="AF368" s="5"/>
      <c r="AG368" s="5"/>
      <c r="AH368" s="1"/>
      <c r="AI368" s="5"/>
      <c r="AJ368" s="5"/>
      <c r="AK368" s="5"/>
      <c r="AL368" s="1"/>
      <c r="AM368" s="1"/>
      <c r="AN368" s="5"/>
      <c r="AO368" s="1"/>
      <c r="AP368" s="5"/>
      <c r="AQ368" s="1"/>
      <c r="AR368" s="1"/>
      <c r="AS368" s="1"/>
      <c r="AT368" s="1"/>
      <c r="AU368" s="1"/>
      <c r="AV368" s="1"/>
      <c r="AW368" s="1"/>
    </row>
    <row r="369" spans="1:49" x14ac:dyDescent="0.35">
      <c r="A369" s="33">
        <f t="shared" si="5"/>
        <v>45139</v>
      </c>
      <c r="B369" s="5">
        <v>51.4</v>
      </c>
      <c r="C369" s="5">
        <v>8364739.3199652098</v>
      </c>
      <c r="D369" s="5">
        <v>88928</v>
      </c>
      <c r="E369" s="5">
        <v>5956</v>
      </c>
      <c r="F369" s="5">
        <v>21996.3</v>
      </c>
      <c r="G369" s="5">
        <v>2136.6999999999998</v>
      </c>
      <c r="H369" s="5">
        <v>3400.7</v>
      </c>
      <c r="I369" s="5">
        <v>13341.5</v>
      </c>
      <c r="J369" s="24">
        <v>3.4462151394422249</v>
      </c>
      <c r="K369" s="5">
        <v>15239</v>
      </c>
      <c r="L369" s="5">
        <v>5.75</v>
      </c>
      <c r="M369" s="5"/>
      <c r="N369" s="1"/>
      <c r="O369" s="5"/>
      <c r="P369" s="1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1"/>
      <c r="AF369" s="5"/>
      <c r="AG369" s="5"/>
      <c r="AH369" s="1"/>
      <c r="AI369" s="5"/>
      <c r="AJ369" s="5"/>
      <c r="AK369" s="5"/>
      <c r="AL369" s="1"/>
      <c r="AM369" s="1"/>
      <c r="AN369" s="5"/>
      <c r="AO369" s="1"/>
      <c r="AP369" s="5"/>
      <c r="AQ369" s="1"/>
      <c r="AR369" s="1"/>
      <c r="AS369" s="1"/>
      <c r="AT369" s="1"/>
      <c r="AU369" s="1"/>
      <c r="AV369" s="1"/>
      <c r="AW369" s="1"/>
    </row>
    <row r="370" spans="1:49" x14ac:dyDescent="0.35">
      <c r="A370" s="33">
        <f t="shared" si="5"/>
        <v>45170</v>
      </c>
      <c r="B370" s="5">
        <v>50.9</v>
      </c>
      <c r="C370" s="5">
        <v>8441236.4369176608</v>
      </c>
      <c r="D370" s="5">
        <v>79919</v>
      </c>
      <c r="E370" s="5">
        <v>6120</v>
      </c>
      <c r="F370" s="5">
        <v>20744.900000000001</v>
      </c>
      <c r="G370" s="5">
        <v>1665.2</v>
      </c>
      <c r="H370" s="5">
        <v>2983.5</v>
      </c>
      <c r="I370" s="5">
        <v>12692.9</v>
      </c>
      <c r="J370" s="24">
        <v>2.2912774117415657</v>
      </c>
      <c r="K370" s="5">
        <v>15526</v>
      </c>
      <c r="L370" s="5">
        <v>5.75</v>
      </c>
      <c r="M370" s="5"/>
      <c r="N370" s="1"/>
      <c r="O370" s="5"/>
      <c r="P370" s="1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1"/>
      <c r="AF370" s="5"/>
      <c r="AG370" s="5"/>
      <c r="AH370" s="1"/>
      <c r="AI370" s="5"/>
      <c r="AJ370" s="5"/>
      <c r="AK370" s="5"/>
      <c r="AL370" s="1"/>
      <c r="AM370" s="1"/>
      <c r="AN370" s="5"/>
      <c r="AO370" s="1"/>
      <c r="AP370" s="5"/>
      <c r="AQ370" s="1"/>
      <c r="AR370" s="1"/>
      <c r="AS370" s="1"/>
      <c r="AT370" s="1"/>
      <c r="AU370" s="1"/>
      <c r="AV370" s="1"/>
      <c r="AW370" s="1"/>
    </row>
    <row r="371" spans="1:49" x14ac:dyDescent="0.35">
      <c r="A371" s="33">
        <f t="shared" si="5"/>
        <v>45200</v>
      </c>
      <c r="B371" s="5">
        <v>50.1</v>
      </c>
      <c r="C371" s="5">
        <v>8506544.0602852292</v>
      </c>
      <c r="D371" s="5">
        <v>80350</v>
      </c>
      <c r="E371" s="5">
        <v>6305</v>
      </c>
      <c r="F371" s="5">
        <v>22144.5</v>
      </c>
      <c r="G371" s="5">
        <v>1818</v>
      </c>
      <c r="H371" s="5">
        <v>3416.7</v>
      </c>
      <c r="I371" s="5">
        <v>13438.2</v>
      </c>
      <c r="J371" s="24">
        <v>2.6390940423436797</v>
      </c>
      <c r="K371" s="5">
        <v>15916</v>
      </c>
      <c r="L371" s="5">
        <v>6</v>
      </c>
      <c r="M371" s="5"/>
      <c r="N371" s="1"/>
      <c r="O371" s="5"/>
      <c r="P371" s="1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1"/>
      <c r="AF371" s="5"/>
      <c r="AG371" s="5"/>
      <c r="AH371" s="1"/>
      <c r="AI371" s="5"/>
      <c r="AJ371" s="5"/>
      <c r="AK371" s="5"/>
      <c r="AL371" s="1"/>
      <c r="AM371" s="1"/>
      <c r="AN371" s="5"/>
      <c r="AO371" s="1"/>
      <c r="AP371" s="5"/>
      <c r="AQ371" s="1"/>
      <c r="AR371" s="1"/>
      <c r="AS371" s="1"/>
      <c r="AT371" s="1"/>
      <c r="AU371" s="1"/>
      <c r="AV371" s="1"/>
      <c r="AW371" s="1"/>
    </row>
    <row r="372" spans="1:49" x14ac:dyDescent="0.35">
      <c r="A372" s="33">
        <f t="shared" si="5"/>
        <v>45231</v>
      </c>
      <c r="B372" s="5">
        <v>50.9</v>
      </c>
      <c r="C372" s="5">
        <v>8574917.0891999993</v>
      </c>
      <c r="D372" s="5">
        <v>84390</v>
      </c>
      <c r="E372" s="5">
        <v>6177</v>
      </c>
      <c r="F372" s="5">
        <v>21995.9</v>
      </c>
      <c r="G372" s="5">
        <v>2009.6</v>
      </c>
      <c r="H372" s="5">
        <v>3655</v>
      </c>
      <c r="I372" s="5">
        <v>13921.9</v>
      </c>
      <c r="J372" s="24">
        <v>2.9799370574350772</v>
      </c>
      <c r="K372" s="5">
        <v>15384</v>
      </c>
      <c r="L372" s="5">
        <v>6</v>
      </c>
      <c r="M372" s="5"/>
      <c r="N372" s="1"/>
      <c r="O372" s="5"/>
      <c r="P372" s="1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1"/>
      <c r="AF372" s="5"/>
      <c r="AG372" s="5"/>
      <c r="AH372" s="1"/>
      <c r="AI372" s="5"/>
      <c r="AJ372" s="5"/>
      <c r="AK372" s="5"/>
      <c r="AL372" s="1"/>
      <c r="AM372" s="1"/>
      <c r="AN372" s="5"/>
      <c r="AO372" s="1"/>
      <c r="AP372" s="5"/>
      <c r="AQ372" s="1"/>
      <c r="AR372" s="1"/>
      <c r="AS372" s="1"/>
      <c r="AT372" s="1"/>
      <c r="AU372" s="1"/>
      <c r="AV372" s="1"/>
      <c r="AW372" s="1"/>
    </row>
    <row r="373" spans="1:49" x14ac:dyDescent="0.35">
      <c r="A373" s="33">
        <f t="shared" si="5"/>
        <v>45261</v>
      </c>
      <c r="B373" s="5">
        <v>50.9</v>
      </c>
      <c r="C373" s="5">
        <v>8826531.0187999997</v>
      </c>
      <c r="D373" s="5">
        <v>85284</v>
      </c>
      <c r="E373" s="5">
        <v>6233</v>
      </c>
      <c r="F373" s="5">
        <v>22391.3</v>
      </c>
      <c r="G373" s="5">
        <v>2050</v>
      </c>
      <c r="H373" s="5">
        <v>3270.8</v>
      </c>
      <c r="I373" s="5">
        <v>13786.3</v>
      </c>
      <c r="J373" s="24">
        <v>2.8060226828314478</v>
      </c>
      <c r="K373" s="5">
        <v>15416</v>
      </c>
      <c r="L373" s="5">
        <v>6</v>
      </c>
      <c r="M373" s="5"/>
      <c r="N373" s="1"/>
      <c r="O373" s="5"/>
      <c r="P373" s="1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1"/>
      <c r="AF373" s="5"/>
      <c r="AG373" s="5"/>
      <c r="AH373" s="1"/>
      <c r="AI373" s="5"/>
      <c r="AJ373" s="5"/>
      <c r="AK373" s="5"/>
      <c r="AL373" s="1"/>
      <c r="AM373" s="1"/>
      <c r="AN373" s="5"/>
      <c r="AO373" s="1"/>
      <c r="AP373" s="5"/>
      <c r="AQ373" s="1"/>
      <c r="AR373" s="1"/>
      <c r="AS373" s="1"/>
      <c r="AT373" s="1"/>
      <c r="AU373" s="1"/>
      <c r="AV373" s="1"/>
      <c r="AW373" s="1"/>
    </row>
    <row r="374" spans="1:49" x14ac:dyDescent="0.35">
      <c r="A374" s="33">
        <f t="shared" si="5"/>
        <v>45292</v>
      </c>
      <c r="B374" s="5">
        <v>51.1</v>
      </c>
      <c r="C374" s="5">
        <v>8721949.6886</v>
      </c>
      <c r="D374" s="5">
        <v>69758</v>
      </c>
      <c r="E374" s="5">
        <v>5059</v>
      </c>
      <c r="F374" s="5">
        <v>20569.75882933</v>
      </c>
      <c r="G374" s="5">
        <v>1771.3</v>
      </c>
      <c r="H374" s="5">
        <v>3260.6</v>
      </c>
      <c r="I374" s="5">
        <v>13462.6</v>
      </c>
      <c r="J374" s="24">
        <v>2.5743539736713803</v>
      </c>
      <c r="K374" s="5">
        <v>15796</v>
      </c>
      <c r="L374" s="5">
        <v>6</v>
      </c>
      <c r="M374" s="5"/>
      <c r="N374" s="1"/>
      <c r="O374" s="5"/>
      <c r="P374" s="1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1"/>
      <c r="AF374" s="5"/>
      <c r="AG374" s="5"/>
      <c r="AH374" s="1"/>
      <c r="AI374" s="5"/>
      <c r="AJ374" s="5"/>
      <c r="AK374" s="5"/>
      <c r="AL374" s="1"/>
      <c r="AM374" s="1"/>
      <c r="AN374" s="5"/>
      <c r="AO374" s="1"/>
      <c r="AP374" s="5"/>
      <c r="AQ374" s="1"/>
      <c r="AR374" s="1"/>
      <c r="AS374" s="1"/>
      <c r="AT374" s="1"/>
      <c r="AU374" s="1"/>
      <c r="AV374" s="1"/>
      <c r="AW374" s="1"/>
    </row>
    <row r="375" spans="1:49" x14ac:dyDescent="0.35">
      <c r="A375" s="33">
        <f t="shared" si="5"/>
        <v>45323</v>
      </c>
      <c r="B375" s="5">
        <v>51.5</v>
      </c>
      <c r="C375" s="5">
        <v>8739574.2916999999</v>
      </c>
      <c r="D375" s="5">
        <v>70772</v>
      </c>
      <c r="E375" s="5">
        <v>4384</v>
      </c>
      <c r="F375" s="5">
        <v>19348.66070221</v>
      </c>
      <c r="G375" s="5">
        <v>1861.9</v>
      </c>
      <c r="H375" s="5">
        <v>3274.9</v>
      </c>
      <c r="I375" s="5">
        <v>13303.4</v>
      </c>
      <c r="J375" s="24">
        <v>2.7542579075425775</v>
      </c>
      <c r="K375" s="5">
        <v>15673</v>
      </c>
      <c r="L375" s="5">
        <v>6</v>
      </c>
      <c r="M375" s="5"/>
      <c r="N375" s="1"/>
      <c r="O375" s="5"/>
      <c r="P375" s="1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1"/>
      <c r="AF375" s="5"/>
      <c r="AG375" s="5"/>
      <c r="AH375" s="1"/>
      <c r="AI375" s="5"/>
      <c r="AJ375" s="5"/>
      <c r="AK375" s="5"/>
      <c r="AL375" s="1"/>
      <c r="AM375" s="1"/>
      <c r="AN375" s="5"/>
      <c r="AO375" s="1"/>
      <c r="AP375" s="5"/>
      <c r="AQ375" s="1"/>
      <c r="AR375" s="1"/>
      <c r="AS375" s="1"/>
      <c r="AT375" s="1"/>
      <c r="AU375" s="1"/>
      <c r="AV375" s="1"/>
      <c r="AW375" s="1"/>
    </row>
    <row r="376" spans="1:49" x14ac:dyDescent="0.35">
      <c r="A376" s="33">
        <f t="shared" si="5"/>
        <v>45352</v>
      </c>
      <c r="B376" s="5">
        <v>52</v>
      </c>
      <c r="C376" s="5">
        <v>8891424.6231464092</v>
      </c>
      <c r="D376" s="5">
        <v>74720</v>
      </c>
      <c r="E376" s="5">
        <v>4830</v>
      </c>
      <c r="F376" s="5">
        <v>22619.999991150002</v>
      </c>
      <c r="G376" s="5">
        <v>1849.1</v>
      </c>
      <c r="H376" s="5">
        <v>2906</v>
      </c>
      <c r="I376" s="5">
        <v>13206</v>
      </c>
      <c r="J376" s="24">
        <v>3.0488396931740951</v>
      </c>
      <c r="K376" s="5">
        <v>15853</v>
      </c>
      <c r="L376" s="5">
        <v>6</v>
      </c>
      <c r="M376" s="5"/>
      <c r="N376" s="1"/>
      <c r="O376" s="5"/>
      <c r="P376" s="1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1"/>
      <c r="AF376" s="5"/>
      <c r="AG376" s="5"/>
      <c r="AH376" s="1"/>
      <c r="AI376" s="5"/>
      <c r="AJ376" s="5"/>
      <c r="AK376" s="5"/>
      <c r="AL376" s="1"/>
      <c r="AM376" s="1"/>
      <c r="AN376" s="5"/>
      <c r="AO376" s="1"/>
      <c r="AP376" s="5"/>
      <c r="AQ376" s="1"/>
      <c r="AR376" s="1"/>
      <c r="AS376" s="1"/>
      <c r="AT376" s="1"/>
      <c r="AU376" s="1"/>
      <c r="AV376" s="1"/>
      <c r="AW376" s="5"/>
    </row>
    <row r="377" spans="1:49" x14ac:dyDescent="0.35">
      <c r="A377" s="33">
        <f t="shared" si="5"/>
        <v>45383</v>
      </c>
      <c r="B377" s="5">
        <v>52</v>
      </c>
      <c r="C377" s="5">
        <v>8926465.5585999992</v>
      </c>
      <c r="D377" s="5">
        <v>48764</v>
      </c>
      <c r="E377" s="5">
        <v>3029</v>
      </c>
      <c r="F377" s="5">
        <v>19693.28530095</v>
      </c>
      <c r="G377" s="5">
        <v>1437.7</v>
      </c>
      <c r="H377" s="5">
        <v>2869.5</v>
      </c>
      <c r="I377" s="5">
        <v>12588.4</v>
      </c>
      <c r="J377" s="24">
        <v>3.000968054211044</v>
      </c>
      <c r="K377" s="5">
        <v>16249</v>
      </c>
      <c r="L377" s="5">
        <v>6.25</v>
      </c>
      <c r="M377" s="5"/>
      <c r="N377" s="1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1"/>
      <c r="AN377" s="5"/>
      <c r="AO377" s="5"/>
      <c r="AP377" s="5"/>
      <c r="AQ377" s="5"/>
      <c r="AR377" s="5"/>
      <c r="AS377" s="5"/>
      <c r="AT377" s="1"/>
      <c r="AU377" s="1"/>
      <c r="AV377" s="5"/>
      <c r="AW377" s="5"/>
    </row>
    <row r="378" spans="1:49" x14ac:dyDescent="0.35">
      <c r="A378" s="33">
        <f t="shared" si="5"/>
        <v>45413</v>
      </c>
      <c r="B378" s="5">
        <v>51.9</v>
      </c>
      <c r="C378" s="5">
        <v>8968821.1103000008</v>
      </c>
      <c r="D378" s="5">
        <v>71391</v>
      </c>
      <c r="E378" s="5">
        <v>5436</v>
      </c>
      <c r="F378" s="5">
        <v>22441.978373099999</v>
      </c>
      <c r="G378" s="5">
        <v>1735.4</v>
      </c>
      <c r="H378" s="5">
        <v>3556.2</v>
      </c>
      <c r="I378" s="5">
        <v>14213.6</v>
      </c>
      <c r="J378" s="24">
        <v>2.8425021753843156</v>
      </c>
      <c r="K378" s="5">
        <v>16253</v>
      </c>
      <c r="L378" s="5">
        <v>6.25</v>
      </c>
      <c r="M378" s="5"/>
      <c r="N378" s="1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35">
      <c r="A379" s="33">
        <f t="shared" si="5"/>
        <v>45444</v>
      </c>
      <c r="B379" s="5">
        <v>52.1</v>
      </c>
      <c r="C379" s="5">
        <v>9015355.0467000008</v>
      </c>
      <c r="D379" s="5">
        <v>74615</v>
      </c>
      <c r="E379" s="5">
        <v>5280</v>
      </c>
      <c r="F379" s="5">
        <v>21058.251735040001</v>
      </c>
      <c r="G379" s="5">
        <v>1778.9</v>
      </c>
      <c r="H379" s="5">
        <v>3032.6</v>
      </c>
      <c r="I379" s="5">
        <v>13727.9</v>
      </c>
      <c r="J379" s="24">
        <v>2.5077160493827106</v>
      </c>
      <c r="K379" s="5">
        <v>16421</v>
      </c>
      <c r="L379" s="5">
        <v>6.25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35">
      <c r="A380" s="33">
        <f t="shared" si="5"/>
        <v>45474</v>
      </c>
      <c r="B380" s="5">
        <v>50.7</v>
      </c>
      <c r="C380" s="5">
        <v>8983383.3549000006</v>
      </c>
      <c r="D380" s="5">
        <v>74230</v>
      </c>
      <c r="E380" s="5">
        <v>6024</v>
      </c>
      <c r="F380" s="5">
        <v>22526.84402968</v>
      </c>
      <c r="G380" s="5">
        <v>2076.4</v>
      </c>
      <c r="H380" s="5">
        <v>3682.4</v>
      </c>
      <c r="I380" s="5">
        <v>16096.8</v>
      </c>
      <c r="J380" s="24">
        <v>2.1274547554871082</v>
      </c>
      <c r="K380" s="5">
        <v>16320</v>
      </c>
      <c r="L380" s="5">
        <v>6.25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35">
      <c r="A381" s="33">
        <f t="shared" si="5"/>
        <v>45505</v>
      </c>
      <c r="B381" s="5">
        <v>50.8</v>
      </c>
      <c r="C381" s="5">
        <v>8975511.8626000006</v>
      </c>
      <c r="D381" s="5">
        <v>76302</v>
      </c>
      <c r="E381" s="5">
        <v>6022</v>
      </c>
      <c r="F381" s="5">
        <v>23598.54647144</v>
      </c>
      <c r="G381" s="5">
        <v>1984.1</v>
      </c>
      <c r="H381" s="5">
        <v>3853.4</v>
      </c>
      <c r="I381" s="5">
        <v>15005.9</v>
      </c>
      <c r="J381" s="24">
        <v>2.1182360870402492</v>
      </c>
      <c r="K381" s="5">
        <v>15409</v>
      </c>
      <c r="L381" s="5">
        <v>6.25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35">
      <c r="A382" s="33">
        <f t="shared" si="5"/>
        <v>45536</v>
      </c>
      <c r="B382" s="5">
        <v>49.8</v>
      </c>
      <c r="C382" s="5">
        <v>9047998.7006000001</v>
      </c>
      <c r="D382" s="5">
        <v>73108</v>
      </c>
      <c r="E382" s="5">
        <v>5970</v>
      </c>
      <c r="F382" s="5">
        <v>22150.740413740001</v>
      </c>
      <c r="G382" s="5">
        <v>1855.4</v>
      </c>
      <c r="H382" s="5">
        <v>3574.6</v>
      </c>
      <c r="I382" s="5">
        <v>13544</v>
      </c>
      <c r="J382" s="24">
        <v>1.8361853489713622</v>
      </c>
      <c r="K382" s="5">
        <v>15138</v>
      </c>
      <c r="L382" s="5">
        <v>6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35">
      <c r="A383" s="33">
        <f t="shared" si="5"/>
        <v>45566</v>
      </c>
      <c r="B383" s="5">
        <v>50.6</v>
      </c>
      <c r="C383" s="5">
        <v>9082755.1076999996</v>
      </c>
      <c r="D383" s="5">
        <v>77404</v>
      </c>
      <c r="E383" s="5">
        <v>6319</v>
      </c>
      <c r="F383" s="5">
        <v>24808.7805893</v>
      </c>
      <c r="G383" s="5">
        <v>2039.1</v>
      </c>
      <c r="H383" s="5">
        <v>3977.4</v>
      </c>
      <c r="I383" s="5">
        <v>15921.8</v>
      </c>
      <c r="J383" s="24">
        <v>1.7077616808980149</v>
      </c>
      <c r="K383" s="5">
        <v>15732</v>
      </c>
      <c r="L383" s="5">
        <v>6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35">
      <c r="A384" s="33">
        <f t="shared" si="5"/>
        <v>45597</v>
      </c>
      <c r="B384" s="5">
        <v>51.6</v>
      </c>
      <c r="C384" s="5">
        <v>9134672.4143000003</v>
      </c>
      <c r="D384" s="5">
        <v>74614</v>
      </c>
      <c r="E384" s="5">
        <v>5929</v>
      </c>
      <c r="F384" s="5">
        <v>24112.733661170001</v>
      </c>
      <c r="G384" s="5">
        <v>2022</v>
      </c>
      <c r="H384" s="5">
        <v>3593</v>
      </c>
      <c r="I384" s="5">
        <v>14016.7</v>
      </c>
      <c r="J384" s="24">
        <v>1.5471301690383008</v>
      </c>
      <c r="K384" s="5">
        <v>15864</v>
      </c>
      <c r="L384" s="5">
        <v>6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35">
      <c r="A385" s="33">
        <f t="shared" si="5"/>
        <v>45627</v>
      </c>
      <c r="B385" s="5">
        <v>50.9</v>
      </c>
      <c r="C385" s="5">
        <v>9246630.1114000008</v>
      </c>
      <c r="D385" s="5">
        <v>79684</v>
      </c>
      <c r="E385" s="5">
        <v>5509</v>
      </c>
      <c r="F385" s="5">
        <v>23599.59149848</v>
      </c>
      <c r="G385" s="5">
        <v>2304.8000000000002</v>
      </c>
      <c r="H385" s="5">
        <v>3911.7</v>
      </c>
      <c r="I385" s="5">
        <v>15004.7</v>
      </c>
      <c r="J385" s="24">
        <v>1.569186875891575</v>
      </c>
      <c r="K385" s="5">
        <v>16162</v>
      </c>
      <c r="L385" s="5">
        <v>6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35">
      <c r="A386" s="33">
        <f t="shared" si="5"/>
        <v>45658</v>
      </c>
      <c r="B386" s="5">
        <v>50.8</v>
      </c>
      <c r="C386" s="5">
        <v>9198352.3366999999</v>
      </c>
      <c r="D386" s="5">
        <v>61995</v>
      </c>
      <c r="E386" s="5">
        <v>4801</v>
      </c>
      <c r="F386" s="5">
        <v>21428.282845950002</v>
      </c>
      <c r="G386" s="5">
        <v>1644.4</v>
      </c>
      <c r="H386" s="5">
        <v>3317.3</v>
      </c>
      <c r="I386" s="5">
        <v>12974.2</v>
      </c>
      <c r="J386" s="24">
        <v>0.76052856735430852</v>
      </c>
      <c r="K386" s="5">
        <v>16259</v>
      </c>
      <c r="L386" s="5">
        <v>5.75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35">
      <c r="A387" s="33">
        <f t="shared" si="5"/>
        <v>45689</v>
      </c>
      <c r="B387" s="5">
        <v>51.1</v>
      </c>
      <c r="C387" s="5">
        <v>9281079.2898999993</v>
      </c>
      <c r="D387" s="5">
        <v>72356</v>
      </c>
      <c r="E387" s="5">
        <v>4604</v>
      </c>
      <c r="F387" s="5">
        <v>21944.180174919999</v>
      </c>
      <c r="G387" s="5">
        <v>1466.9</v>
      </c>
      <c r="H387" s="5">
        <v>3449.9</v>
      </c>
      <c r="I387" s="5">
        <v>13932.2</v>
      </c>
      <c r="J387" s="24">
        <v>-9.4714908126533728E-2</v>
      </c>
      <c r="K387" s="5">
        <v>16430.994999999999</v>
      </c>
      <c r="L387" s="5">
        <v>5.75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35">
      <c r="A388" s="33">
        <f t="shared" ref="A388:A409" si="6">DATE(YEAR(A387),MONTH(A387)+1,1)</f>
        <v>45717</v>
      </c>
      <c r="B388" s="5">
        <v>51.3</v>
      </c>
      <c r="C388" s="5">
        <v>9436700.4510999992</v>
      </c>
      <c r="D388" s="5">
        <v>71188</v>
      </c>
      <c r="E388" s="5">
        <v>3758</v>
      </c>
      <c r="F388" s="5">
        <v>23247.262499050001</v>
      </c>
      <c r="G388" s="5">
        <v>1741.7</v>
      </c>
      <c r="H388" s="5">
        <v>3701.1</v>
      </c>
      <c r="I388" s="5">
        <v>13477.2</v>
      </c>
      <c r="J388" s="24">
        <v>1.0270423066051102</v>
      </c>
      <c r="K388" s="5">
        <v>16588</v>
      </c>
      <c r="L388" s="5">
        <v>5.75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35">
      <c r="A389" s="33">
        <f t="shared" si="6"/>
        <v>45748</v>
      </c>
      <c r="B389" s="5">
        <v>50.5</v>
      </c>
      <c r="C389" s="5">
        <v>9387895.1895000003</v>
      </c>
      <c r="D389" s="5">
        <v>52369</v>
      </c>
      <c r="E389" s="5">
        <v>3920</v>
      </c>
      <c r="F389" s="5">
        <v>20743.84694494</v>
      </c>
      <c r="G389" s="5">
        <v>1703.1</v>
      </c>
      <c r="H389" s="5">
        <v>3910.6</v>
      </c>
      <c r="I389" s="5">
        <v>14971.3</v>
      </c>
      <c r="J389" s="24">
        <v>1.9454887218045047</v>
      </c>
      <c r="K389" s="5">
        <v>16787</v>
      </c>
      <c r="L389" s="5">
        <v>5.75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35">
      <c r="A390" s="33">
        <f t="shared" si="6"/>
        <v>45778</v>
      </c>
      <c r="B390" s="5">
        <v>49.2</v>
      </c>
      <c r="C390" s="5">
        <v>9404299.8905999996</v>
      </c>
      <c r="D390" s="5">
        <v>60847</v>
      </c>
      <c r="E390" s="5">
        <v>5181</v>
      </c>
      <c r="F390" s="5">
        <v>24613.800875419998</v>
      </c>
      <c r="G390" s="5">
        <v>1827</v>
      </c>
      <c r="H390" s="5">
        <v>4440</v>
      </c>
      <c r="I390" s="5">
        <v>14045.3</v>
      </c>
      <c r="J390" s="24">
        <v>1.5981949797875235</v>
      </c>
      <c r="K390" s="5">
        <v>16255</v>
      </c>
      <c r="L390" s="5">
        <v>5.5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35">
      <c r="A391" s="33">
        <f t="shared" si="6"/>
        <v>45809</v>
      </c>
      <c r="B391" s="9">
        <v>50.4</v>
      </c>
      <c r="C391" s="9">
        <v>9595253.5951000005</v>
      </c>
      <c r="D391" s="9">
        <v>58339</v>
      </c>
      <c r="E391" s="9">
        <v>4896</v>
      </c>
      <c r="F391" s="9">
        <v>23436.5</v>
      </c>
      <c r="G391" s="9">
        <v>1799.8</v>
      </c>
      <c r="H391" s="9">
        <v>4181.8999999999996</v>
      </c>
      <c r="I391" s="9">
        <v>13351.3</v>
      </c>
      <c r="J391" s="26">
        <v>1.8724124952954411</v>
      </c>
      <c r="K391" s="9">
        <v>16233</v>
      </c>
      <c r="L391" s="9">
        <v>5.5</v>
      </c>
    </row>
    <row r="392" spans="1:49" x14ac:dyDescent="0.35">
      <c r="A392" s="33">
        <f t="shared" si="6"/>
        <v>45839</v>
      </c>
      <c r="B392" s="9">
        <v>50.1</v>
      </c>
      <c r="C392" s="9">
        <v>9574893.2753999997</v>
      </c>
      <c r="D392" s="9">
        <v>60878</v>
      </c>
      <c r="E392" s="9">
        <v>5800</v>
      </c>
      <c r="F392" s="9">
        <v>24748.9</v>
      </c>
      <c r="G392" s="9">
        <v>2025.1</v>
      </c>
      <c r="H392" s="9">
        <v>4376</v>
      </c>
      <c r="I392" s="9">
        <v>14174.3</v>
      </c>
      <c r="J392" s="26">
        <v>2.3659157319257149</v>
      </c>
      <c r="K392" s="9">
        <v>16387.005000000001</v>
      </c>
      <c r="L392" s="9">
        <v>5.25</v>
      </c>
    </row>
    <row r="393" spans="1:49" x14ac:dyDescent="0.35">
      <c r="A393" s="33">
        <f t="shared" si="6"/>
        <v>45870</v>
      </c>
      <c r="B393" s="9">
        <v>50.9</v>
      </c>
      <c r="C393" s="9">
        <v>9657084.2640000004</v>
      </c>
      <c r="D393" s="9">
        <v>61777</v>
      </c>
      <c r="E393" s="9">
        <v>5794</v>
      </c>
      <c r="F393" s="9">
        <v>24963.200000000001</v>
      </c>
      <c r="G393" s="9">
        <v>1880.2</v>
      </c>
      <c r="H393" s="9">
        <v>3948</v>
      </c>
      <c r="I393" s="9">
        <v>13647.1</v>
      </c>
      <c r="J393" s="26">
        <v>2.3100132000754314</v>
      </c>
      <c r="K393" s="9">
        <v>16356</v>
      </c>
      <c r="L393" s="9">
        <v>5</v>
      </c>
    </row>
    <row r="394" spans="1:49" x14ac:dyDescent="0.35">
      <c r="A394" s="33">
        <f t="shared" si="6"/>
        <v>45901</v>
      </c>
      <c r="B394" s="9">
        <v>51.2</v>
      </c>
      <c r="C394" s="9">
        <v>9771300</v>
      </c>
      <c r="D394" s="9">
        <v>62077</v>
      </c>
      <c r="E394" s="9">
        <v>5856</v>
      </c>
      <c r="F394" s="9">
        <v>24679.1</v>
      </c>
      <c r="G394" s="9">
        <v>1930.7</v>
      </c>
      <c r="H394" s="9">
        <v>4576.3999999999996</v>
      </c>
      <c r="I394" s="9">
        <v>13828.2</v>
      </c>
      <c r="J394" s="26">
        <v>2.6526951760596504</v>
      </c>
      <c r="K394" s="9">
        <v>16680</v>
      </c>
      <c r="L394" s="9">
        <v>4.75</v>
      </c>
    </row>
    <row r="395" spans="1:49" x14ac:dyDescent="0.35">
      <c r="A395" s="33">
        <f t="shared" si="6"/>
        <v>45931</v>
      </c>
      <c r="B395" s="9">
        <v>51.1</v>
      </c>
      <c r="C395" s="9">
        <v>9783800</v>
      </c>
      <c r="D395" s="9">
        <v>74014</v>
      </c>
      <c r="E395" s="9">
        <v>6210</v>
      </c>
      <c r="F395" s="9">
        <v>24236.3</v>
      </c>
      <c r="G395" s="9">
        <v>2001.6</v>
      </c>
      <c r="H395" s="9">
        <v>4645</v>
      </c>
      <c r="I395" s="9">
        <v>15196.5</v>
      </c>
      <c r="J395" s="26">
        <v>2.8582209225544766</v>
      </c>
      <c r="K395" s="9">
        <v>16640</v>
      </c>
      <c r="L395" s="9">
        <v>4.75</v>
      </c>
    </row>
    <row r="396" spans="1:49" x14ac:dyDescent="0.35">
      <c r="A396" s="33">
        <f t="shared" si="6"/>
        <v>45962</v>
      </c>
      <c r="B396" s="9">
        <v>50.5</v>
      </c>
      <c r="C396" s="31">
        <v>9893300</v>
      </c>
      <c r="D396" s="9">
        <v>74252</v>
      </c>
      <c r="E396" s="9">
        <v>6030</v>
      </c>
      <c r="F396" s="9">
        <v>22520.799999999999</v>
      </c>
      <c r="G396" s="9">
        <v>1990.7</v>
      </c>
      <c r="H396" s="9">
        <v>4267.7</v>
      </c>
      <c r="I396" s="9">
        <v>13600.1</v>
      </c>
      <c r="J396" s="26">
        <v>2.72</v>
      </c>
      <c r="K396" s="9">
        <v>16661</v>
      </c>
      <c r="L396" s="9">
        <v>4.75</v>
      </c>
    </row>
    <row r="397" spans="1:49" x14ac:dyDescent="0.35">
      <c r="A397" s="33">
        <f t="shared" si="6"/>
        <v>45992</v>
      </c>
      <c r="B397" s="9">
        <v>50.4</v>
      </c>
      <c r="C397" s="31">
        <v>10134700</v>
      </c>
      <c r="D397" s="9">
        <v>94100</v>
      </c>
      <c r="E397" s="9">
        <v>5980</v>
      </c>
      <c r="F397" s="9">
        <v>26346.799999999999</v>
      </c>
      <c r="G397" s="9">
        <v>2412.5</v>
      </c>
      <c r="H397" s="9">
        <v>5316.7</v>
      </c>
      <c r="I397" s="9">
        <v>16104.9</v>
      </c>
      <c r="J397" s="9">
        <v>2.92</v>
      </c>
      <c r="K397" s="9">
        <v>16702</v>
      </c>
      <c r="L397" s="9">
        <v>4.75</v>
      </c>
    </row>
    <row r="398" spans="1:49" x14ac:dyDescent="0.35">
      <c r="A398" s="33">
        <f t="shared" si="6"/>
        <v>46023</v>
      </c>
      <c r="B398" s="9">
        <v>50.6</v>
      </c>
      <c r="C398" s="9">
        <v>10117800</v>
      </c>
      <c r="D398" s="9">
        <v>66500</v>
      </c>
      <c r="E398" s="9">
        <v>5440</v>
      </c>
      <c r="F398" s="9">
        <v>22155.7</v>
      </c>
      <c r="G398" s="9">
        <v>1838.6</v>
      </c>
      <c r="H398" s="9">
        <v>4485.8999999999996</v>
      </c>
      <c r="I398" s="9">
        <v>14876.9</v>
      </c>
      <c r="J398" s="9">
        <v>3.55</v>
      </c>
      <c r="K398" s="9">
        <v>16769</v>
      </c>
      <c r="L398" s="9">
        <v>4.75</v>
      </c>
    </row>
    <row r="399" spans="1:49" x14ac:dyDescent="0.35">
      <c r="A399" s="33">
        <f t="shared" si="6"/>
        <v>46054</v>
      </c>
      <c r="B399" s="9">
        <v>52</v>
      </c>
      <c r="C399" s="9">
        <v>10089900</v>
      </c>
      <c r="D399" s="9">
        <v>81250</v>
      </c>
      <c r="E399" s="9">
        <v>4950</v>
      </c>
      <c r="F399" s="9">
        <v>22166.799999999999</v>
      </c>
      <c r="G399" s="9">
        <v>1758</v>
      </c>
      <c r="H399" s="9">
        <v>4611.7</v>
      </c>
      <c r="I399" s="9">
        <v>14523.8</v>
      </c>
      <c r="J399" s="9">
        <v>4.76</v>
      </c>
      <c r="K399" s="9">
        <v>16779</v>
      </c>
      <c r="L399" s="9">
        <v>4.75</v>
      </c>
    </row>
    <row r="400" spans="1:49" x14ac:dyDescent="0.35">
      <c r="A400" s="33">
        <f t="shared" si="6"/>
        <v>46082</v>
      </c>
      <c r="B400" s="9">
        <v>50.7</v>
      </c>
      <c r="C400" s="9">
        <v>10355100</v>
      </c>
      <c r="D400" s="9">
        <v>61271</v>
      </c>
      <c r="F400" s="9">
        <v>22526.799999999999</v>
      </c>
      <c r="G400" s="9">
        <v>1553.5</v>
      </c>
      <c r="H400" s="9">
        <v>3885.4</v>
      </c>
      <c r="I400" s="9">
        <v>13766.9</v>
      </c>
      <c r="J400" s="9">
        <v>3.48</v>
      </c>
      <c r="K400" s="9">
        <v>16999</v>
      </c>
      <c r="L400" s="9">
        <v>4.75</v>
      </c>
    </row>
    <row r="401" spans="1:12" x14ac:dyDescent="0.35">
      <c r="A401" s="33">
        <f t="shared" si="6"/>
        <v>46113</v>
      </c>
      <c r="K401" s="9">
        <v>13378</v>
      </c>
      <c r="L401" s="9">
        <v>4.75</v>
      </c>
    </row>
    <row r="402" spans="1:12" x14ac:dyDescent="0.35">
      <c r="A402" s="33">
        <f t="shared" si="6"/>
        <v>46143</v>
      </c>
    </row>
    <row r="403" spans="1:12" x14ac:dyDescent="0.35">
      <c r="A403" s="33">
        <f t="shared" si="6"/>
        <v>46174</v>
      </c>
    </row>
    <row r="404" spans="1:12" x14ac:dyDescent="0.35">
      <c r="A404" s="33">
        <f t="shared" si="6"/>
        <v>46204</v>
      </c>
    </row>
    <row r="405" spans="1:12" x14ac:dyDescent="0.35">
      <c r="A405" s="33">
        <f t="shared" si="6"/>
        <v>46235</v>
      </c>
    </row>
    <row r="406" spans="1:12" x14ac:dyDescent="0.35">
      <c r="A406" s="33">
        <f t="shared" si="6"/>
        <v>46266</v>
      </c>
    </row>
    <row r="407" spans="1:12" x14ac:dyDescent="0.35">
      <c r="A407" s="33">
        <f t="shared" si="6"/>
        <v>46296</v>
      </c>
    </row>
    <row r="408" spans="1:12" x14ac:dyDescent="0.35">
      <c r="A408" s="33">
        <f t="shared" si="6"/>
        <v>46327</v>
      </c>
    </row>
    <row r="409" spans="1:12" x14ac:dyDescent="0.35">
      <c r="A409" s="33">
        <f t="shared" si="6"/>
        <v>46357</v>
      </c>
    </row>
  </sheetData>
  <conditionalFormatting sqref="N350:N367">
    <cfRule type="cellIs" dxfId="96" priority="426" stopIfTrue="1" operator="greaterThanOrEqual">
      <formula>0</formula>
    </cfRule>
    <cfRule type="cellIs" dxfId="95" priority="425" stopIfTrue="1" operator="lessThan">
      <formula>0</formula>
    </cfRule>
    <cfRule type="cellIs" dxfId="94" priority="423" operator="greaterThanOrEqual">
      <formula>0</formula>
    </cfRule>
    <cfRule type="cellIs" dxfId="93" priority="422" operator="lessThan">
      <formula>0</formula>
    </cfRule>
  </conditionalFormatting>
  <conditionalFormatting sqref="N368:N378">
    <cfRule type="cellIs" dxfId="92" priority="46" stopIfTrue="1" operator="greaterThanOrEqual">
      <formula>0</formula>
    </cfRule>
    <cfRule type="cellIs" dxfId="91" priority="45" stopIfTrue="1" operator="lessThan">
      <formula>0</formula>
    </cfRule>
    <cfRule type="cellIs" dxfId="90" priority="43" operator="greaterThanOrEqual">
      <formula>0</formula>
    </cfRule>
    <cfRule type="cellIs" dxfId="89" priority="42" operator="lessThan">
      <formula>0</formula>
    </cfRule>
  </conditionalFormatting>
  <conditionalFormatting sqref="N377:N378">
    <cfRule type="expression" dxfId="88" priority="44" stopIfTrue="1">
      <formula>TRUE()</formula>
    </cfRule>
  </conditionalFormatting>
  <conditionalFormatting sqref="P206:P213">
    <cfRule type="cellIs" dxfId="87" priority="421" stopIfTrue="1" operator="greaterThanOrEqual">
      <formula>0</formula>
    </cfRule>
    <cfRule type="cellIs" dxfId="86" priority="368" operator="greaterThanOrEqual">
      <formula>0</formula>
    </cfRule>
    <cfRule type="cellIs" dxfId="85" priority="367" operator="lessThan">
      <formula>0</formula>
    </cfRule>
    <cfRule type="cellIs" dxfId="84" priority="420" stopIfTrue="1" operator="lessThan">
      <formula>0</formula>
    </cfRule>
  </conditionalFormatting>
  <conditionalFormatting sqref="P214:P376">
    <cfRule type="cellIs" dxfId="83" priority="16" operator="lessThan">
      <formula>0</formula>
    </cfRule>
    <cfRule type="cellIs" dxfId="82" priority="17" operator="greaterThanOrEqual">
      <formula>0</formula>
    </cfRule>
    <cfRule type="cellIs" dxfId="81" priority="19" stopIfTrue="1" operator="lessThan">
      <formula>0</formula>
    </cfRule>
    <cfRule type="cellIs" dxfId="80" priority="20" stopIfTrue="1" operator="greaterThanOrEqual">
      <formula>0</formula>
    </cfRule>
  </conditionalFormatting>
  <conditionalFormatting sqref="P375:P376">
    <cfRule type="expression" dxfId="79" priority="18" stopIfTrue="1">
      <formula>TRUE()</formula>
    </cfRule>
  </conditionalFormatting>
  <conditionalFormatting sqref="AE338:AE347">
    <cfRule type="cellIs" dxfId="78" priority="475" stopIfTrue="1" operator="lessThan">
      <formula>0</formula>
    </cfRule>
    <cfRule type="cellIs" dxfId="77" priority="476" stopIfTrue="1" operator="greaterThanOrEqual">
      <formula>0</formula>
    </cfRule>
    <cfRule type="cellIs" dxfId="76" priority="363" operator="greaterThanOrEqual">
      <formula>0</formula>
    </cfRule>
    <cfRule type="cellIs" dxfId="75" priority="362" operator="lessThan">
      <formula>0</formula>
    </cfRule>
  </conditionalFormatting>
  <conditionalFormatting sqref="AE348:AE370">
    <cfRule type="cellIs" dxfId="74" priority="191" stopIfTrue="1" operator="greaterThanOrEqual">
      <formula>0</formula>
    </cfRule>
    <cfRule type="cellIs" dxfId="73" priority="190" stopIfTrue="1" operator="lessThan">
      <formula>0</formula>
    </cfRule>
  </conditionalFormatting>
  <conditionalFormatting sqref="AE348:AE376">
    <cfRule type="cellIs" dxfId="72" priority="21" operator="lessThan">
      <formula>0</formula>
    </cfRule>
    <cfRule type="cellIs" dxfId="71" priority="22" operator="greaterThanOrEqual">
      <formula>0</formula>
    </cfRule>
  </conditionalFormatting>
  <conditionalFormatting sqref="AE361">
    <cfRule type="expression" dxfId="70" priority="189" stopIfTrue="1">
      <formula>TRUE()</formula>
    </cfRule>
  </conditionalFormatting>
  <conditionalFormatting sqref="AE371:AE376">
    <cfRule type="cellIs" dxfId="69" priority="25" stopIfTrue="1" operator="greaterThanOrEqual">
      <formula>0</formula>
    </cfRule>
    <cfRule type="cellIs" dxfId="68" priority="24" stopIfTrue="1" operator="lessThan">
      <formula>0</formula>
    </cfRule>
  </conditionalFormatting>
  <conditionalFormatting sqref="AE375:AE376">
    <cfRule type="expression" dxfId="67" priority="23" stopIfTrue="1">
      <formula>TRUE()</formula>
    </cfRule>
  </conditionalFormatting>
  <conditionalFormatting sqref="AH349:AH376">
    <cfRule type="cellIs" dxfId="66" priority="63" operator="greaterThanOrEqual">
      <formula>0</formula>
    </cfRule>
    <cfRule type="cellIs" dxfId="65" priority="62" operator="lessThan">
      <formula>0</formula>
    </cfRule>
    <cfRule type="cellIs" dxfId="64" priority="66" stopIfTrue="1" operator="greaterThanOrEqual">
      <formula>0</formula>
    </cfRule>
    <cfRule type="cellIs" dxfId="63" priority="65" stopIfTrue="1" operator="lessThan">
      <formula>0</formula>
    </cfRule>
  </conditionalFormatting>
  <conditionalFormatting sqref="AH350:AH361 AH370:AH376">
    <cfRule type="expression" dxfId="62" priority="64" stopIfTrue="1">
      <formula>TRUE()</formula>
    </cfRule>
  </conditionalFormatting>
  <conditionalFormatting sqref="AL360">
    <cfRule type="cellIs" dxfId="61" priority="331" stopIfTrue="1" operator="greaterThanOrEqual">
      <formula>0</formula>
    </cfRule>
    <cfRule type="cellIs" dxfId="60" priority="330" stopIfTrue="1" operator="lessThan">
      <formula>0</formula>
    </cfRule>
    <cfRule type="cellIs" dxfId="59" priority="327" operator="lessThan">
      <formula>0</formula>
    </cfRule>
    <cfRule type="cellIs" dxfId="58" priority="328" operator="greaterThanOrEqual">
      <formula>0</formula>
    </cfRule>
  </conditionalFormatting>
  <conditionalFormatting sqref="AL361:AL376">
    <cfRule type="cellIs" dxfId="57" priority="52" operator="lessThan">
      <formula>0</formula>
    </cfRule>
    <cfRule type="cellIs" dxfId="56" priority="53" operator="greaterThanOrEqual">
      <formula>0</formula>
    </cfRule>
    <cfRule type="cellIs" dxfId="55" priority="55" stopIfTrue="1" operator="lessThan">
      <formula>0</formula>
    </cfRule>
    <cfRule type="cellIs" dxfId="54" priority="56" stopIfTrue="1" operator="greaterThanOrEqual">
      <formula>0</formula>
    </cfRule>
  </conditionalFormatting>
  <conditionalFormatting sqref="AL362:AL376">
    <cfRule type="expression" dxfId="53" priority="54" stopIfTrue="1">
      <formula>TRUE()</formula>
    </cfRule>
  </conditionalFormatting>
  <conditionalFormatting sqref="AM361">
    <cfRule type="cellIs" dxfId="52" priority="347" operator="lessThan">
      <formula>0</formula>
    </cfRule>
    <cfRule type="cellIs" dxfId="51" priority="348" operator="greaterThanOrEqual">
      <formula>0</formula>
    </cfRule>
    <cfRule type="cellIs" dxfId="50" priority="350" stopIfTrue="1" operator="lessThan">
      <formula>0</formula>
    </cfRule>
    <cfRule type="cellIs" dxfId="49" priority="351" stopIfTrue="1" operator="greaterThanOrEqual">
      <formula>0</formula>
    </cfRule>
  </conditionalFormatting>
  <conditionalFormatting sqref="AM362:AM377">
    <cfRule type="cellIs" dxfId="48" priority="30" stopIfTrue="1" operator="lessThan">
      <formula>0</formula>
    </cfRule>
    <cfRule type="cellIs" dxfId="47" priority="27" operator="greaterThanOrEqual">
      <formula>0</formula>
    </cfRule>
    <cfRule type="cellIs" dxfId="46" priority="26" operator="lessThan">
      <formula>0</formula>
    </cfRule>
    <cfRule type="cellIs" dxfId="45" priority="31" stopIfTrue="1" operator="greaterThanOrEqual">
      <formula>0</formula>
    </cfRule>
  </conditionalFormatting>
  <conditionalFormatting sqref="AM376">
    <cfRule type="expression" dxfId="44" priority="29" stopIfTrue="1">
      <formula>TRUE()</formula>
    </cfRule>
  </conditionalFormatting>
  <conditionalFormatting sqref="AM377">
    <cfRule type="expression" dxfId="43" priority="28" stopIfTrue="1">
      <formula>TRUE()</formula>
    </cfRule>
  </conditionalFormatting>
  <conditionalFormatting sqref="AO337:AO363">
    <cfRule type="cellIs" dxfId="42" priority="332" operator="lessThan">
      <formula>0</formula>
    </cfRule>
    <cfRule type="cellIs" dxfId="41" priority="333" operator="greaterThanOrEqual">
      <formula>0</formula>
    </cfRule>
    <cfRule type="cellIs" dxfId="40" priority="335" stopIfTrue="1" operator="lessThan">
      <formula>0</formula>
    </cfRule>
    <cfRule type="cellIs" dxfId="39" priority="336" stopIfTrue="1" operator="greaterThanOrEqual">
      <formula>0</formula>
    </cfRule>
  </conditionalFormatting>
  <conditionalFormatting sqref="AO364:AO376">
    <cfRule type="cellIs" dxfId="38" priority="15" stopIfTrue="1" operator="greaterThanOrEqual">
      <formula>0</formula>
    </cfRule>
    <cfRule type="cellIs" dxfId="37" priority="14" stopIfTrue="1" operator="lessThan">
      <formula>0</formula>
    </cfRule>
    <cfRule type="cellIs" dxfId="36" priority="12" operator="greaterThanOrEqual">
      <formula>0</formula>
    </cfRule>
    <cfRule type="cellIs" dxfId="35" priority="11" operator="lessThan">
      <formula>0</formula>
    </cfRule>
  </conditionalFormatting>
  <conditionalFormatting sqref="AO371:AO376">
    <cfRule type="expression" dxfId="34" priority="13" stopIfTrue="1">
      <formula>TRUE()</formula>
    </cfRule>
  </conditionalFormatting>
  <conditionalFormatting sqref="AQ350:AS376">
    <cfRule type="cellIs" dxfId="33" priority="57" operator="lessThan">
      <formula>0</formula>
    </cfRule>
    <cfRule type="cellIs" dxfId="32" priority="58" operator="greaterThanOrEqual">
      <formula>0</formula>
    </cfRule>
    <cfRule type="cellIs" dxfId="31" priority="61" stopIfTrue="1" operator="greaterThanOrEqual">
      <formula>0</formula>
    </cfRule>
    <cfRule type="cellIs" dxfId="30" priority="60" stopIfTrue="1" operator="lessThan">
      <formula>0</formula>
    </cfRule>
  </conditionalFormatting>
  <conditionalFormatting sqref="AS372 AQ373:AS376">
    <cfRule type="expression" dxfId="29" priority="59" stopIfTrue="1">
      <formula>TRUE()</formula>
    </cfRule>
  </conditionalFormatting>
  <conditionalFormatting sqref="AT361:AU365">
    <cfRule type="cellIs" dxfId="28" priority="341" stopIfTrue="1" operator="greaterThanOrEqual">
      <formula>0</formula>
    </cfRule>
    <cfRule type="cellIs" dxfId="27" priority="337" operator="lessThan">
      <formula>0</formula>
    </cfRule>
    <cfRule type="cellIs" dxfId="26" priority="338" operator="greaterThanOrEqual">
      <formula>0</formula>
    </cfRule>
    <cfRule type="cellIs" dxfId="25" priority="340" stopIfTrue="1" operator="lessThan">
      <formula>0</formula>
    </cfRule>
  </conditionalFormatting>
  <conditionalFormatting sqref="AT366:AU377">
    <cfRule type="cellIs" dxfId="24" priority="32" operator="lessThan">
      <formula>0</formula>
    </cfRule>
    <cfRule type="cellIs" dxfId="23" priority="36" stopIfTrue="1" operator="greaterThanOrEqual">
      <formula>0</formula>
    </cfRule>
    <cfRule type="cellIs" dxfId="22" priority="35" stopIfTrue="1" operator="lessThan">
      <formula>0</formula>
    </cfRule>
    <cfRule type="cellIs" dxfId="21" priority="33" operator="greaterThanOrEqual">
      <formula>0</formula>
    </cfRule>
  </conditionalFormatting>
  <conditionalFormatting sqref="AT377:AU377">
    <cfRule type="expression" dxfId="20" priority="34" stopIfTrue="1">
      <formula>TRUE()</formula>
    </cfRule>
  </conditionalFormatting>
  <conditionalFormatting sqref="AV361:AV368">
    <cfRule type="cellIs" dxfId="19" priority="75" stopIfTrue="1" operator="lessThan">
      <formula>0</formula>
    </cfRule>
    <cfRule type="cellIs" dxfId="18" priority="76" stopIfTrue="1" operator="greaterThanOrEqual">
      <formula>0</formula>
    </cfRule>
  </conditionalFormatting>
  <conditionalFormatting sqref="AV369:AV376">
    <cfRule type="cellIs" dxfId="17" priority="10" stopIfTrue="1" operator="greaterThanOrEqual">
      <formula>0</formula>
    </cfRule>
    <cfRule type="cellIs" dxfId="16" priority="9" stopIfTrue="1" operator="lessThan">
      <formula>0</formula>
    </cfRule>
    <cfRule type="cellIs" dxfId="15" priority="6" operator="lessThan">
      <formula>0</formula>
    </cfRule>
    <cfRule type="cellIs" dxfId="14" priority="7" operator="greaterThanOrEqual">
      <formula>0</formula>
    </cfRule>
  </conditionalFormatting>
  <conditionalFormatting sqref="AV370:AV376">
    <cfRule type="expression" dxfId="13" priority="8" stopIfTrue="1">
      <formula>TRUE()</formula>
    </cfRule>
  </conditionalFormatting>
  <conditionalFormatting sqref="AV360:AW360">
    <cfRule type="cellIs" dxfId="12" priority="317" operator="lessThan">
      <formula>0</formula>
    </cfRule>
    <cfRule type="cellIs" dxfId="11" priority="318" operator="greaterThanOrEqual">
      <formula>0</formula>
    </cfRule>
    <cfRule type="cellIs" dxfId="10" priority="320" stopIfTrue="1" operator="lessThan">
      <formula>0</formula>
    </cfRule>
    <cfRule type="cellIs" dxfId="9" priority="321" stopIfTrue="1" operator="greaterThanOrEqual">
      <formula>0</formula>
    </cfRule>
  </conditionalFormatting>
  <conditionalFormatting sqref="AV361:AW368">
    <cfRule type="cellIs" dxfId="8" priority="67" operator="lessThan">
      <formula>0</formula>
    </cfRule>
    <cfRule type="cellIs" dxfId="7" priority="68" operator="greaterThanOrEqual">
      <formula>0</formula>
    </cfRule>
  </conditionalFormatting>
  <conditionalFormatting sqref="AW361:AW370">
    <cfRule type="cellIs" dxfId="6" priority="70" stopIfTrue="1" operator="lessThan">
      <formula>0</formula>
    </cfRule>
    <cfRule type="cellIs" dxfId="5" priority="71" stopIfTrue="1" operator="greaterThanOrEqual">
      <formula>0</formula>
    </cfRule>
  </conditionalFormatting>
  <conditionalFormatting sqref="AW369:AW375">
    <cfRule type="cellIs" dxfId="4" priority="1" operator="lessThan">
      <formula>0</formula>
    </cfRule>
    <cfRule type="cellIs" dxfId="3" priority="2" operator="greaterThanOrEqual">
      <formula>0</formula>
    </cfRule>
  </conditionalFormatting>
  <conditionalFormatting sqref="AW371:AW375">
    <cfRule type="cellIs" dxfId="2" priority="5" stopIfTrue="1" operator="greaterThanOrEqual">
      <formula>0</formula>
    </cfRule>
    <cfRule type="cellIs" dxfId="1" priority="4" stopIfTrue="1" operator="lessThan">
      <formula>0</formula>
    </cfRule>
  </conditionalFormatting>
  <conditionalFormatting sqref="AW375">
    <cfRule type="expression" dxfId="0" priority="3" stopIfTrue="1">
      <formula>TRUE()</formula>
    </cfRule>
  </conditionalFormatting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2B81-5F14-4B55-B2D4-8A98223D192C}">
  <sheetPr codeName="Sheet2"/>
  <dimension ref="A1:OT16"/>
  <sheetViews>
    <sheetView zoomScale="110" zoomScaleNormal="110" zoomScalePageLayoutView="125" workbookViewId="0">
      <pane xSplit="2" ySplit="1" topLeftCell="OL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ColWidth="8.90625" defaultRowHeight="14.5" x14ac:dyDescent="0.35"/>
  <cols>
    <col min="1" max="1" width="36" customWidth="1"/>
    <col min="2" max="2" width="9.08984375" customWidth="1"/>
    <col min="3" max="3" width="16.1796875" customWidth="1"/>
    <col min="4" max="265" width="13" bestFit="1" customWidth="1"/>
    <col min="266" max="266" width="16.1796875" customWidth="1"/>
    <col min="267" max="288" width="13" bestFit="1" customWidth="1"/>
    <col min="289" max="289" width="14.6328125" customWidth="1"/>
    <col min="290" max="308" width="13" bestFit="1" customWidth="1"/>
    <col min="309" max="309" width="13.453125" customWidth="1"/>
    <col min="310" max="316" width="13" bestFit="1" customWidth="1"/>
    <col min="317" max="317" width="18" customWidth="1"/>
    <col min="318" max="336" width="13" bestFit="1" customWidth="1"/>
    <col min="337" max="337" width="13.08984375" customWidth="1"/>
    <col min="338" max="338" width="12.1796875" customWidth="1"/>
    <col min="339" max="348" width="10.90625" bestFit="1" customWidth="1"/>
    <col min="349" max="349" width="13.08984375" customWidth="1"/>
    <col min="350" max="350" width="12.1796875" customWidth="1"/>
    <col min="351" max="360" width="10.90625" bestFit="1" customWidth="1"/>
    <col min="361" max="361" width="13.08984375" customWidth="1"/>
    <col min="362" max="362" width="12.1796875" customWidth="1"/>
    <col min="363" max="372" width="10.90625" bestFit="1" customWidth="1"/>
    <col min="373" max="373" width="13.08984375" customWidth="1"/>
    <col min="374" max="374" width="12.1796875" customWidth="1"/>
    <col min="375" max="384" width="10.90625" bestFit="1" customWidth="1"/>
    <col min="385" max="385" width="13.08984375" customWidth="1"/>
    <col min="386" max="386" width="12.1796875" customWidth="1"/>
    <col min="387" max="396" width="10.90625" bestFit="1" customWidth="1"/>
    <col min="397" max="397" width="13.08984375" customWidth="1"/>
    <col min="398" max="398" width="12.1796875" customWidth="1"/>
    <col min="399" max="408" width="10.90625" bestFit="1" customWidth="1"/>
    <col min="409" max="409" width="13.08984375" customWidth="1"/>
    <col min="410" max="410" width="12.1796875" customWidth="1"/>
  </cols>
  <sheetData>
    <row r="1" spans="1:410" s="18" customFormat="1" ht="15" thickBot="1" x14ac:dyDescent="0.4">
      <c r="A1" s="17" t="s">
        <v>0</v>
      </c>
      <c r="B1" s="28" t="s">
        <v>20</v>
      </c>
      <c r="C1" s="29">
        <f>DATE(Settings!$B$2,1,1)</f>
        <v>33970</v>
      </c>
      <c r="D1" s="29">
        <f ca="1">IF(YEAR(DATE(YEAR(C1),MONTH(C1)+1,1))&lt;=Settings!$B$3,DATE(YEAR(C1),MONTH(C1)+1,1),0)</f>
        <v>34001</v>
      </c>
      <c r="E1" s="29">
        <f ca="1">IF(YEAR(DATE(YEAR(D1),MONTH(D1)+1,1))&lt;=Settings!$B$3,DATE(YEAR(D1),MONTH(D1)+1,1),0)</f>
        <v>34029</v>
      </c>
      <c r="F1" s="29">
        <f ca="1">IF(YEAR(DATE(YEAR(E1),MONTH(E1)+1,1))&lt;=Settings!$B$3,DATE(YEAR(E1),MONTH(E1)+1,1),0)</f>
        <v>34060</v>
      </c>
      <c r="G1" s="29">
        <f ca="1">IF(YEAR(DATE(YEAR(F1),MONTH(F1)+1,1))&lt;=Settings!$B$3,DATE(YEAR(F1),MONTH(F1)+1,1),0)</f>
        <v>34090</v>
      </c>
      <c r="H1" s="29">
        <f ca="1">IF(YEAR(DATE(YEAR(G1),MONTH(G1)+1,1))&lt;=Settings!$B$3,DATE(YEAR(G1),MONTH(G1)+1,1),0)</f>
        <v>34121</v>
      </c>
      <c r="I1" s="29">
        <f ca="1">IF(YEAR(DATE(YEAR(H1),MONTH(H1)+1,1))&lt;=Settings!$B$3,DATE(YEAR(H1),MONTH(H1)+1,1),0)</f>
        <v>34151</v>
      </c>
      <c r="J1" s="29">
        <f ca="1">IF(YEAR(DATE(YEAR(I1),MONTH(I1)+1,1))&lt;=Settings!$B$3,DATE(YEAR(I1),MONTH(I1)+1,1),0)</f>
        <v>34182</v>
      </c>
      <c r="K1" s="29">
        <f ca="1">IF(YEAR(DATE(YEAR(J1),MONTH(J1)+1,1))&lt;=Settings!$B$3,DATE(YEAR(J1),MONTH(J1)+1,1),0)</f>
        <v>34213</v>
      </c>
      <c r="L1" s="29">
        <f ca="1">IF(YEAR(DATE(YEAR(K1),MONTH(K1)+1,1))&lt;=Settings!$B$3,DATE(YEAR(K1),MONTH(K1)+1,1),0)</f>
        <v>34243</v>
      </c>
      <c r="M1" s="29">
        <f ca="1">IF(YEAR(DATE(YEAR(L1),MONTH(L1)+1,1))&lt;=Settings!$B$3,DATE(YEAR(L1),MONTH(L1)+1,1),0)</f>
        <v>34274</v>
      </c>
      <c r="N1" s="29">
        <f ca="1">IF(YEAR(DATE(YEAR(M1),MONTH(M1)+1,1))&lt;=Settings!$B$3,DATE(YEAR(M1),MONTH(M1)+1,1),0)</f>
        <v>34304</v>
      </c>
      <c r="O1" s="29">
        <f ca="1">IF(YEAR(DATE(YEAR(N1),MONTH(N1)+1,1))&lt;=Settings!$B$3,DATE(YEAR(N1),MONTH(N1)+1,1),0)</f>
        <v>34335</v>
      </c>
      <c r="P1" s="29">
        <f ca="1">IF(YEAR(DATE(YEAR(O1),MONTH(O1)+1,1))&lt;=Settings!$B$3,DATE(YEAR(O1),MONTH(O1)+1,1),0)</f>
        <v>34366</v>
      </c>
      <c r="Q1" s="29">
        <f ca="1">IF(YEAR(DATE(YEAR(P1),MONTH(P1)+1,1))&lt;=Settings!$B$3,DATE(YEAR(P1),MONTH(P1)+1,1),0)</f>
        <v>34394</v>
      </c>
      <c r="R1" s="29">
        <f ca="1">IF(YEAR(DATE(YEAR(Q1),MONTH(Q1)+1,1))&lt;=Settings!$B$3,DATE(YEAR(Q1),MONTH(Q1)+1,1),0)</f>
        <v>34425</v>
      </c>
      <c r="S1" s="29">
        <f ca="1">IF(YEAR(DATE(YEAR(R1),MONTH(R1)+1,1))&lt;=Settings!$B$3,DATE(YEAR(R1),MONTH(R1)+1,1),0)</f>
        <v>34455</v>
      </c>
      <c r="T1" s="29">
        <f ca="1">IF(YEAR(DATE(YEAR(S1),MONTH(S1)+1,1))&lt;=Settings!$B$3,DATE(YEAR(S1),MONTH(S1)+1,1),0)</f>
        <v>34486</v>
      </c>
      <c r="U1" s="29">
        <f ca="1">IF(YEAR(DATE(YEAR(T1),MONTH(T1)+1,1))&lt;=Settings!$B$3,DATE(YEAR(T1),MONTH(T1)+1,1),0)</f>
        <v>34516</v>
      </c>
      <c r="V1" s="29">
        <f ca="1">IF(YEAR(DATE(YEAR(U1),MONTH(U1)+1,1))&lt;=Settings!$B$3,DATE(YEAR(U1),MONTH(U1)+1,1),0)</f>
        <v>34547</v>
      </c>
      <c r="W1" s="29">
        <f ca="1">IF(YEAR(DATE(YEAR(V1),MONTH(V1)+1,1))&lt;=Settings!$B$3,DATE(YEAR(V1),MONTH(V1)+1,1),0)</f>
        <v>34578</v>
      </c>
      <c r="X1" s="29">
        <f ca="1">IF(YEAR(DATE(YEAR(W1),MONTH(W1)+1,1))&lt;=Settings!$B$3,DATE(YEAR(W1),MONTH(W1)+1,1),0)</f>
        <v>34608</v>
      </c>
      <c r="Y1" s="29">
        <f ca="1">IF(YEAR(DATE(YEAR(X1),MONTH(X1)+1,1))&lt;=Settings!$B$3,DATE(YEAR(X1),MONTH(X1)+1,1),0)</f>
        <v>34639</v>
      </c>
      <c r="Z1" s="29">
        <f ca="1">IF(YEAR(DATE(YEAR(Y1),MONTH(Y1)+1,1))&lt;=Settings!$B$3,DATE(YEAR(Y1),MONTH(Y1)+1,1),0)</f>
        <v>34669</v>
      </c>
      <c r="AA1" s="29">
        <f ca="1">IF(YEAR(DATE(YEAR(Z1),MONTH(Z1)+1,1))&lt;=Settings!$B$3,DATE(YEAR(Z1),MONTH(Z1)+1,1),0)</f>
        <v>34700</v>
      </c>
      <c r="AB1" s="29">
        <f ca="1">IF(YEAR(DATE(YEAR(AA1),MONTH(AA1)+1,1))&lt;=Settings!$B$3,DATE(YEAR(AA1),MONTH(AA1)+1,1),0)</f>
        <v>34731</v>
      </c>
      <c r="AC1" s="29">
        <f ca="1">IF(YEAR(DATE(YEAR(AB1),MONTH(AB1)+1,1))&lt;=Settings!$B$3,DATE(YEAR(AB1),MONTH(AB1)+1,1),0)</f>
        <v>34759</v>
      </c>
      <c r="AD1" s="29">
        <f ca="1">IF(YEAR(DATE(YEAR(AC1),MONTH(AC1)+1,1))&lt;=Settings!$B$3,DATE(YEAR(AC1),MONTH(AC1)+1,1),0)</f>
        <v>34790</v>
      </c>
      <c r="AE1" s="29">
        <f ca="1">IF(YEAR(DATE(YEAR(AD1),MONTH(AD1)+1,1))&lt;=Settings!$B$3,DATE(YEAR(AD1),MONTH(AD1)+1,1),0)</f>
        <v>34820</v>
      </c>
      <c r="AF1" s="29">
        <f ca="1">IF(YEAR(DATE(YEAR(AE1),MONTH(AE1)+1,1))&lt;=Settings!$B$3,DATE(YEAR(AE1),MONTH(AE1)+1,1),0)</f>
        <v>34851</v>
      </c>
      <c r="AG1" s="29">
        <f ca="1">IF(YEAR(DATE(YEAR(AF1),MONTH(AF1)+1,1))&lt;=Settings!$B$3,DATE(YEAR(AF1),MONTH(AF1)+1,1),0)</f>
        <v>34881</v>
      </c>
      <c r="AH1" s="29">
        <f ca="1">IF(YEAR(DATE(YEAR(AG1),MONTH(AG1)+1,1))&lt;=Settings!$B$3,DATE(YEAR(AG1),MONTH(AG1)+1,1),0)</f>
        <v>34912</v>
      </c>
      <c r="AI1" s="29">
        <f ca="1">IF(YEAR(DATE(YEAR(AH1),MONTH(AH1)+1,1))&lt;=Settings!$B$3,DATE(YEAR(AH1),MONTH(AH1)+1,1),0)</f>
        <v>34943</v>
      </c>
      <c r="AJ1" s="29">
        <f ca="1">IF(YEAR(DATE(YEAR(AI1),MONTH(AI1)+1,1))&lt;=Settings!$B$3,DATE(YEAR(AI1),MONTH(AI1)+1,1),0)</f>
        <v>34973</v>
      </c>
      <c r="AK1" s="29">
        <f ca="1">IF(YEAR(DATE(YEAR(AJ1),MONTH(AJ1)+1,1))&lt;=Settings!$B$3,DATE(YEAR(AJ1),MONTH(AJ1)+1,1),0)</f>
        <v>35004</v>
      </c>
      <c r="AL1" s="29">
        <f ca="1">IF(YEAR(DATE(YEAR(AK1),MONTH(AK1)+1,1))&lt;=Settings!$B$3,DATE(YEAR(AK1),MONTH(AK1)+1,1),0)</f>
        <v>35034</v>
      </c>
      <c r="AM1" s="29">
        <f ca="1">IF(YEAR(DATE(YEAR(AL1),MONTH(AL1)+1,1))&lt;=Settings!$B$3,DATE(YEAR(AL1),MONTH(AL1)+1,1),0)</f>
        <v>35065</v>
      </c>
      <c r="AN1" s="29">
        <f ca="1">IF(YEAR(DATE(YEAR(AM1),MONTH(AM1)+1,1))&lt;=Settings!$B$3,DATE(YEAR(AM1),MONTH(AM1)+1,1),0)</f>
        <v>35096</v>
      </c>
      <c r="AO1" s="29">
        <f ca="1">IF(YEAR(DATE(YEAR(AN1),MONTH(AN1)+1,1))&lt;=Settings!$B$3,DATE(YEAR(AN1),MONTH(AN1)+1,1),0)</f>
        <v>35125</v>
      </c>
      <c r="AP1" s="29">
        <f ca="1">IF(YEAR(DATE(YEAR(AO1),MONTH(AO1)+1,1))&lt;=Settings!$B$3,DATE(YEAR(AO1),MONTH(AO1)+1,1),0)</f>
        <v>35156</v>
      </c>
      <c r="AQ1" s="29">
        <f ca="1">IF(YEAR(DATE(YEAR(AP1),MONTH(AP1)+1,1))&lt;=Settings!$B$3,DATE(YEAR(AP1),MONTH(AP1)+1,1),0)</f>
        <v>35186</v>
      </c>
      <c r="AR1" s="29">
        <f ca="1">IF(YEAR(DATE(YEAR(AQ1),MONTH(AQ1)+1,1))&lt;=Settings!$B$3,DATE(YEAR(AQ1),MONTH(AQ1)+1,1),0)</f>
        <v>35217</v>
      </c>
      <c r="AS1" s="29">
        <f ca="1">IF(YEAR(DATE(YEAR(AR1),MONTH(AR1)+1,1))&lt;=Settings!$B$3,DATE(YEAR(AR1),MONTH(AR1)+1,1),0)</f>
        <v>35247</v>
      </c>
      <c r="AT1" s="29">
        <f ca="1">IF(YEAR(DATE(YEAR(AS1),MONTH(AS1)+1,1))&lt;=Settings!$B$3,DATE(YEAR(AS1),MONTH(AS1)+1,1),0)</f>
        <v>35278</v>
      </c>
      <c r="AU1" s="29">
        <f ca="1">IF(YEAR(DATE(YEAR(AT1),MONTH(AT1)+1,1))&lt;=Settings!$B$3,DATE(YEAR(AT1),MONTH(AT1)+1,1),0)</f>
        <v>35309</v>
      </c>
      <c r="AV1" s="29">
        <f ca="1">IF(YEAR(DATE(YEAR(AU1),MONTH(AU1)+1,1))&lt;=Settings!$B$3,DATE(YEAR(AU1),MONTH(AU1)+1,1),0)</f>
        <v>35339</v>
      </c>
      <c r="AW1" s="29">
        <f ca="1">IF(YEAR(DATE(YEAR(AV1),MONTH(AV1)+1,1))&lt;=Settings!$B$3,DATE(YEAR(AV1),MONTH(AV1)+1,1),0)</f>
        <v>35370</v>
      </c>
      <c r="AX1" s="29">
        <f ca="1">IF(YEAR(DATE(YEAR(AW1),MONTH(AW1)+1,1))&lt;=Settings!$B$3,DATE(YEAR(AW1),MONTH(AW1)+1,1),0)</f>
        <v>35400</v>
      </c>
      <c r="AY1" s="29">
        <f ca="1">IF(YEAR(DATE(YEAR(AX1),MONTH(AX1)+1,1))&lt;=Settings!$B$3,DATE(YEAR(AX1),MONTH(AX1)+1,1),0)</f>
        <v>35431</v>
      </c>
      <c r="AZ1" s="29">
        <f ca="1">IF(YEAR(DATE(YEAR(AY1),MONTH(AY1)+1,1))&lt;=Settings!$B$3,DATE(YEAR(AY1),MONTH(AY1)+1,1),0)</f>
        <v>35462</v>
      </c>
      <c r="BA1" s="29">
        <f ca="1">IF(YEAR(DATE(YEAR(AZ1),MONTH(AZ1)+1,1))&lt;=Settings!$B$3,DATE(YEAR(AZ1),MONTH(AZ1)+1,1),0)</f>
        <v>35490</v>
      </c>
      <c r="BB1" s="29">
        <f ca="1">IF(YEAR(DATE(YEAR(BA1),MONTH(BA1)+1,1))&lt;=Settings!$B$3,DATE(YEAR(BA1),MONTH(BA1)+1,1),0)</f>
        <v>35521</v>
      </c>
      <c r="BC1" s="29">
        <f ca="1">IF(YEAR(DATE(YEAR(BB1),MONTH(BB1)+1,1))&lt;=Settings!$B$3,DATE(YEAR(BB1),MONTH(BB1)+1,1),0)</f>
        <v>35551</v>
      </c>
      <c r="BD1" s="29">
        <f ca="1">IF(YEAR(DATE(YEAR(BC1),MONTH(BC1)+1,1))&lt;=Settings!$B$3,DATE(YEAR(BC1),MONTH(BC1)+1,1),0)</f>
        <v>35582</v>
      </c>
      <c r="BE1" s="29">
        <f ca="1">IF(YEAR(DATE(YEAR(BD1),MONTH(BD1)+1,1))&lt;=Settings!$B$3,DATE(YEAR(BD1),MONTH(BD1)+1,1),0)</f>
        <v>35612</v>
      </c>
      <c r="BF1" s="29">
        <f ca="1">IF(YEAR(DATE(YEAR(BE1),MONTH(BE1)+1,1))&lt;=Settings!$B$3,DATE(YEAR(BE1),MONTH(BE1)+1,1),0)</f>
        <v>35643</v>
      </c>
      <c r="BG1" s="29">
        <f ca="1">IF(YEAR(DATE(YEAR(BF1),MONTH(BF1)+1,1))&lt;=Settings!$B$3,DATE(YEAR(BF1),MONTH(BF1)+1,1),0)</f>
        <v>35674</v>
      </c>
      <c r="BH1" s="29">
        <f ca="1">IF(YEAR(DATE(YEAR(BG1),MONTH(BG1)+1,1))&lt;=Settings!$B$3,DATE(YEAR(BG1),MONTH(BG1)+1,1),0)</f>
        <v>35704</v>
      </c>
      <c r="BI1" s="29">
        <f ca="1">IF(YEAR(DATE(YEAR(BH1),MONTH(BH1)+1,1))&lt;=Settings!$B$3,DATE(YEAR(BH1),MONTH(BH1)+1,1),0)</f>
        <v>35735</v>
      </c>
      <c r="BJ1" s="29">
        <f ca="1">IF(YEAR(DATE(YEAR(BI1),MONTH(BI1)+1,1))&lt;=Settings!$B$3,DATE(YEAR(BI1),MONTH(BI1)+1,1),0)</f>
        <v>35765</v>
      </c>
      <c r="BK1" s="29">
        <f ca="1">IF(YEAR(DATE(YEAR(BJ1),MONTH(BJ1)+1,1))&lt;=Settings!$B$3,DATE(YEAR(BJ1),MONTH(BJ1)+1,1),0)</f>
        <v>35796</v>
      </c>
      <c r="BL1" s="29">
        <f ca="1">IF(YEAR(DATE(YEAR(BK1),MONTH(BK1)+1,1))&lt;=Settings!$B$3,DATE(YEAR(BK1),MONTH(BK1)+1,1),0)</f>
        <v>35827</v>
      </c>
      <c r="BM1" s="29">
        <f ca="1">IF(YEAR(DATE(YEAR(BL1),MONTH(BL1)+1,1))&lt;=Settings!$B$3,DATE(YEAR(BL1),MONTH(BL1)+1,1),0)</f>
        <v>35855</v>
      </c>
      <c r="BN1" s="29">
        <f ca="1">IF(YEAR(DATE(YEAR(BM1),MONTH(BM1)+1,1))&lt;=Settings!$B$3,DATE(YEAR(BM1),MONTH(BM1)+1,1),0)</f>
        <v>35886</v>
      </c>
      <c r="BO1" s="29">
        <f ca="1">IF(YEAR(DATE(YEAR(BN1),MONTH(BN1)+1,1))&lt;=Settings!$B$3,DATE(YEAR(BN1),MONTH(BN1)+1,1),0)</f>
        <v>35916</v>
      </c>
      <c r="BP1" s="29">
        <f ca="1">IF(YEAR(DATE(YEAR(BO1),MONTH(BO1)+1,1))&lt;=Settings!$B$3,DATE(YEAR(BO1),MONTH(BO1)+1,1),0)</f>
        <v>35947</v>
      </c>
      <c r="BQ1" s="29">
        <f ca="1">IF(YEAR(DATE(YEAR(BP1),MONTH(BP1)+1,1))&lt;=Settings!$B$3,DATE(YEAR(BP1),MONTH(BP1)+1,1),0)</f>
        <v>35977</v>
      </c>
      <c r="BR1" s="29">
        <f ca="1">IF(YEAR(DATE(YEAR(BQ1),MONTH(BQ1)+1,1))&lt;=Settings!$B$3,DATE(YEAR(BQ1),MONTH(BQ1)+1,1),0)</f>
        <v>36008</v>
      </c>
      <c r="BS1" s="29">
        <f ca="1">IF(YEAR(DATE(YEAR(BR1),MONTH(BR1)+1,1))&lt;=Settings!$B$3,DATE(YEAR(BR1),MONTH(BR1)+1,1),0)</f>
        <v>36039</v>
      </c>
      <c r="BT1" s="29">
        <f ca="1">IF(YEAR(DATE(YEAR(BS1),MONTH(BS1)+1,1))&lt;=Settings!$B$3,DATE(YEAR(BS1),MONTH(BS1)+1,1),0)</f>
        <v>36069</v>
      </c>
      <c r="BU1" s="29">
        <f ca="1">IF(YEAR(DATE(YEAR(BT1),MONTH(BT1)+1,1))&lt;=Settings!$B$3,DATE(YEAR(BT1),MONTH(BT1)+1,1),0)</f>
        <v>36100</v>
      </c>
      <c r="BV1" s="29">
        <f ca="1">IF(YEAR(DATE(YEAR(BU1),MONTH(BU1)+1,1))&lt;=Settings!$B$3,DATE(YEAR(BU1),MONTH(BU1)+1,1),0)</f>
        <v>36130</v>
      </c>
      <c r="BW1" s="29">
        <f ca="1">IF(YEAR(DATE(YEAR(BV1),MONTH(BV1)+1,1))&lt;=Settings!$B$3,DATE(YEAR(BV1),MONTH(BV1)+1,1),0)</f>
        <v>36161</v>
      </c>
      <c r="BX1" s="29">
        <f ca="1">IF(YEAR(DATE(YEAR(BW1),MONTH(BW1)+1,1))&lt;=Settings!$B$3,DATE(YEAR(BW1),MONTH(BW1)+1,1),0)</f>
        <v>36192</v>
      </c>
      <c r="BY1" s="29">
        <f ca="1">IF(YEAR(DATE(YEAR(BX1),MONTH(BX1)+1,1))&lt;=Settings!$B$3,DATE(YEAR(BX1),MONTH(BX1)+1,1),0)</f>
        <v>36220</v>
      </c>
      <c r="BZ1" s="29">
        <f ca="1">IF(YEAR(DATE(YEAR(BY1),MONTH(BY1)+1,1))&lt;=Settings!$B$3,DATE(YEAR(BY1),MONTH(BY1)+1,1),0)</f>
        <v>36251</v>
      </c>
      <c r="CA1" s="29">
        <f ca="1">IF(YEAR(DATE(YEAR(BZ1),MONTH(BZ1)+1,1))&lt;=Settings!$B$3,DATE(YEAR(BZ1),MONTH(BZ1)+1,1),0)</f>
        <v>36281</v>
      </c>
      <c r="CB1" s="29">
        <f ca="1">IF(YEAR(DATE(YEAR(CA1),MONTH(CA1)+1,1))&lt;=Settings!$B$3,DATE(YEAR(CA1),MONTH(CA1)+1,1),0)</f>
        <v>36312</v>
      </c>
      <c r="CC1" s="29">
        <f ca="1">IF(YEAR(DATE(YEAR(CB1),MONTH(CB1)+1,1))&lt;=Settings!$B$3,DATE(YEAR(CB1),MONTH(CB1)+1,1),0)</f>
        <v>36342</v>
      </c>
      <c r="CD1" s="29">
        <f ca="1">IF(YEAR(DATE(YEAR(CC1),MONTH(CC1)+1,1))&lt;=Settings!$B$3,DATE(YEAR(CC1),MONTH(CC1)+1,1),0)</f>
        <v>36373</v>
      </c>
      <c r="CE1" s="29">
        <f ca="1">IF(YEAR(DATE(YEAR(CD1),MONTH(CD1)+1,1))&lt;=Settings!$B$3,DATE(YEAR(CD1),MONTH(CD1)+1,1),0)</f>
        <v>36404</v>
      </c>
      <c r="CF1" s="29">
        <f ca="1">IF(YEAR(DATE(YEAR(CE1),MONTH(CE1)+1,1))&lt;=Settings!$B$3,DATE(YEAR(CE1),MONTH(CE1)+1,1),0)</f>
        <v>36434</v>
      </c>
      <c r="CG1" s="29">
        <f ca="1">IF(YEAR(DATE(YEAR(CF1),MONTH(CF1)+1,1))&lt;=Settings!$B$3,DATE(YEAR(CF1),MONTH(CF1)+1,1),0)</f>
        <v>36465</v>
      </c>
      <c r="CH1" s="29">
        <f ca="1">IF(YEAR(DATE(YEAR(CG1),MONTH(CG1)+1,1))&lt;=Settings!$B$3,DATE(YEAR(CG1),MONTH(CG1)+1,1),0)</f>
        <v>36495</v>
      </c>
      <c r="CI1" s="29">
        <f ca="1">IF(YEAR(DATE(YEAR(CH1),MONTH(CH1)+1,1))&lt;=Settings!$B$3,DATE(YEAR(CH1),MONTH(CH1)+1,1),0)</f>
        <v>36526</v>
      </c>
      <c r="CJ1" s="29">
        <f ca="1">IF(YEAR(DATE(YEAR(CI1),MONTH(CI1)+1,1))&lt;=Settings!$B$3,DATE(YEAR(CI1),MONTH(CI1)+1,1),0)</f>
        <v>36557</v>
      </c>
      <c r="CK1" s="29">
        <f ca="1">IF(YEAR(DATE(YEAR(CJ1),MONTH(CJ1)+1,1))&lt;=Settings!$B$3,DATE(YEAR(CJ1),MONTH(CJ1)+1,1),0)</f>
        <v>36586</v>
      </c>
      <c r="CL1" s="29">
        <f ca="1">IF(YEAR(DATE(YEAR(CK1),MONTH(CK1)+1,1))&lt;=Settings!$B$3,DATE(YEAR(CK1),MONTH(CK1)+1,1),0)</f>
        <v>36617</v>
      </c>
      <c r="CM1" s="29">
        <f ca="1">IF(YEAR(DATE(YEAR(CL1),MONTH(CL1)+1,1))&lt;=Settings!$B$3,DATE(YEAR(CL1),MONTH(CL1)+1,1),0)</f>
        <v>36647</v>
      </c>
      <c r="CN1" s="29">
        <f ca="1">IF(YEAR(DATE(YEAR(CM1),MONTH(CM1)+1,1))&lt;=Settings!$B$3,DATE(YEAR(CM1),MONTH(CM1)+1,1),0)</f>
        <v>36678</v>
      </c>
      <c r="CO1" s="29">
        <f ca="1">IF(YEAR(DATE(YEAR(CN1),MONTH(CN1)+1,1))&lt;=Settings!$B$3,DATE(YEAR(CN1),MONTH(CN1)+1,1),0)</f>
        <v>36708</v>
      </c>
      <c r="CP1" s="29">
        <f ca="1">IF(YEAR(DATE(YEAR(CO1),MONTH(CO1)+1,1))&lt;=Settings!$B$3,DATE(YEAR(CO1),MONTH(CO1)+1,1),0)</f>
        <v>36739</v>
      </c>
      <c r="CQ1" s="29">
        <f ca="1">IF(YEAR(DATE(YEAR(CP1),MONTH(CP1)+1,1))&lt;=Settings!$B$3,DATE(YEAR(CP1),MONTH(CP1)+1,1),0)</f>
        <v>36770</v>
      </c>
      <c r="CR1" s="29">
        <f ca="1">IF(YEAR(DATE(YEAR(CQ1),MONTH(CQ1)+1,1))&lt;=Settings!$B$3,DATE(YEAR(CQ1),MONTH(CQ1)+1,1),0)</f>
        <v>36800</v>
      </c>
      <c r="CS1" s="29">
        <f ca="1">IF(YEAR(DATE(YEAR(CR1),MONTH(CR1)+1,1))&lt;=Settings!$B$3,DATE(YEAR(CR1),MONTH(CR1)+1,1),0)</f>
        <v>36831</v>
      </c>
      <c r="CT1" s="29">
        <f ca="1">IF(YEAR(DATE(YEAR(CS1),MONTH(CS1)+1,1))&lt;=Settings!$B$3,DATE(YEAR(CS1),MONTH(CS1)+1,1),0)</f>
        <v>36861</v>
      </c>
      <c r="CU1" s="29">
        <f ca="1">IF(YEAR(DATE(YEAR(CT1),MONTH(CT1)+1,1))&lt;=Settings!$B$3,DATE(YEAR(CT1),MONTH(CT1)+1,1),0)</f>
        <v>36892</v>
      </c>
      <c r="CV1" s="29">
        <f ca="1">IF(YEAR(DATE(YEAR(CU1),MONTH(CU1)+1,1))&lt;=Settings!$B$3,DATE(YEAR(CU1),MONTH(CU1)+1,1),0)</f>
        <v>36923</v>
      </c>
      <c r="CW1" s="29">
        <f ca="1">IF(YEAR(DATE(YEAR(CV1),MONTH(CV1)+1,1))&lt;=Settings!$B$3,DATE(YEAR(CV1),MONTH(CV1)+1,1),0)</f>
        <v>36951</v>
      </c>
      <c r="CX1" s="29">
        <f ca="1">IF(YEAR(DATE(YEAR(CW1),MONTH(CW1)+1,1))&lt;=Settings!$B$3,DATE(YEAR(CW1),MONTH(CW1)+1,1),0)</f>
        <v>36982</v>
      </c>
      <c r="CY1" s="29">
        <f ca="1">IF(YEAR(DATE(YEAR(CX1),MONTH(CX1)+1,1))&lt;=Settings!$B$3,DATE(YEAR(CX1),MONTH(CX1)+1,1),0)</f>
        <v>37012</v>
      </c>
      <c r="CZ1" s="29">
        <f ca="1">IF(YEAR(DATE(YEAR(CY1),MONTH(CY1)+1,1))&lt;=Settings!$B$3,DATE(YEAR(CY1),MONTH(CY1)+1,1),0)</f>
        <v>37043</v>
      </c>
      <c r="DA1" s="29">
        <f ca="1">IF(YEAR(DATE(YEAR(CZ1),MONTH(CZ1)+1,1))&lt;=Settings!$B$3,DATE(YEAR(CZ1),MONTH(CZ1)+1,1),0)</f>
        <v>37073</v>
      </c>
      <c r="DB1" s="29">
        <f ca="1">IF(YEAR(DATE(YEAR(DA1),MONTH(DA1)+1,1))&lt;=Settings!$B$3,DATE(YEAR(DA1),MONTH(DA1)+1,1),0)</f>
        <v>37104</v>
      </c>
      <c r="DC1" s="29">
        <f ca="1">IF(YEAR(DATE(YEAR(DB1),MONTH(DB1)+1,1))&lt;=Settings!$B$3,DATE(YEAR(DB1),MONTH(DB1)+1,1),0)</f>
        <v>37135</v>
      </c>
      <c r="DD1" s="29">
        <f ca="1">IF(YEAR(DATE(YEAR(DC1),MONTH(DC1)+1,1))&lt;=Settings!$B$3,DATE(YEAR(DC1),MONTH(DC1)+1,1),0)</f>
        <v>37165</v>
      </c>
      <c r="DE1" s="29">
        <f ca="1">IF(YEAR(DATE(YEAR(DD1),MONTH(DD1)+1,1))&lt;=Settings!$B$3,DATE(YEAR(DD1),MONTH(DD1)+1,1),0)</f>
        <v>37196</v>
      </c>
      <c r="DF1" s="29">
        <f ca="1">IF(YEAR(DATE(YEAR(DE1),MONTH(DE1)+1,1))&lt;=Settings!$B$3,DATE(YEAR(DE1),MONTH(DE1)+1,1),0)</f>
        <v>37226</v>
      </c>
      <c r="DG1" s="29">
        <f ca="1">IF(YEAR(DATE(YEAR(DF1),MONTH(DF1)+1,1))&lt;=Settings!$B$3,DATE(YEAR(DF1),MONTH(DF1)+1,1),0)</f>
        <v>37257</v>
      </c>
      <c r="DH1" s="29">
        <f ca="1">IF(YEAR(DATE(YEAR(DG1),MONTH(DG1)+1,1))&lt;=Settings!$B$3,DATE(YEAR(DG1),MONTH(DG1)+1,1),0)</f>
        <v>37288</v>
      </c>
      <c r="DI1" s="29">
        <f ca="1">IF(YEAR(DATE(YEAR(DH1),MONTH(DH1)+1,1))&lt;=Settings!$B$3,DATE(YEAR(DH1),MONTH(DH1)+1,1),0)</f>
        <v>37316</v>
      </c>
      <c r="DJ1" s="29">
        <f ca="1">IF(YEAR(DATE(YEAR(DI1),MONTH(DI1)+1,1))&lt;=Settings!$B$3,DATE(YEAR(DI1),MONTH(DI1)+1,1),0)</f>
        <v>37347</v>
      </c>
      <c r="DK1" s="29">
        <f ca="1">IF(YEAR(DATE(YEAR(DJ1),MONTH(DJ1)+1,1))&lt;=Settings!$B$3,DATE(YEAR(DJ1),MONTH(DJ1)+1,1),0)</f>
        <v>37377</v>
      </c>
      <c r="DL1" s="29">
        <f ca="1">IF(YEAR(DATE(YEAR(DK1),MONTH(DK1)+1,1))&lt;=Settings!$B$3,DATE(YEAR(DK1),MONTH(DK1)+1,1),0)</f>
        <v>37408</v>
      </c>
      <c r="DM1" s="29">
        <f ca="1">IF(YEAR(DATE(YEAR(DL1),MONTH(DL1)+1,1))&lt;=Settings!$B$3,DATE(YEAR(DL1),MONTH(DL1)+1,1),0)</f>
        <v>37438</v>
      </c>
      <c r="DN1" s="29">
        <f ca="1">IF(YEAR(DATE(YEAR(DM1),MONTH(DM1)+1,1))&lt;=Settings!$B$3,DATE(YEAR(DM1),MONTH(DM1)+1,1),0)</f>
        <v>37469</v>
      </c>
      <c r="DO1" s="29">
        <f ca="1">IF(YEAR(DATE(YEAR(DN1),MONTH(DN1)+1,1))&lt;=Settings!$B$3,DATE(YEAR(DN1),MONTH(DN1)+1,1),0)</f>
        <v>37500</v>
      </c>
      <c r="DP1" s="29">
        <f ca="1">IF(YEAR(DATE(YEAR(DO1),MONTH(DO1)+1,1))&lt;=Settings!$B$3,DATE(YEAR(DO1),MONTH(DO1)+1,1),0)</f>
        <v>37530</v>
      </c>
      <c r="DQ1" s="29">
        <f ca="1">IF(YEAR(DATE(YEAR(DP1),MONTH(DP1)+1,1))&lt;=Settings!$B$3,DATE(YEAR(DP1),MONTH(DP1)+1,1),0)</f>
        <v>37561</v>
      </c>
      <c r="DR1" s="29">
        <f ca="1">IF(YEAR(DATE(YEAR(DQ1),MONTH(DQ1)+1,1))&lt;=Settings!$B$3,DATE(YEAR(DQ1),MONTH(DQ1)+1,1),0)</f>
        <v>37591</v>
      </c>
      <c r="DS1" s="29">
        <f ca="1">IF(YEAR(DATE(YEAR(DR1),MONTH(DR1)+1,1))&lt;=Settings!$B$3,DATE(YEAR(DR1),MONTH(DR1)+1,1),0)</f>
        <v>37622</v>
      </c>
      <c r="DT1" s="29">
        <f ca="1">IF(YEAR(DATE(YEAR(DS1),MONTH(DS1)+1,1))&lt;=Settings!$B$3,DATE(YEAR(DS1),MONTH(DS1)+1,1),0)</f>
        <v>37653</v>
      </c>
      <c r="DU1" s="29">
        <f ca="1">IF(YEAR(DATE(YEAR(DT1),MONTH(DT1)+1,1))&lt;=Settings!$B$3,DATE(YEAR(DT1),MONTH(DT1)+1,1),0)</f>
        <v>37681</v>
      </c>
      <c r="DV1" s="29">
        <f ca="1">IF(YEAR(DATE(YEAR(DU1),MONTH(DU1)+1,1))&lt;=Settings!$B$3,DATE(YEAR(DU1),MONTH(DU1)+1,1),0)</f>
        <v>37712</v>
      </c>
      <c r="DW1" s="29">
        <f ca="1">IF(YEAR(DATE(YEAR(DV1),MONTH(DV1)+1,1))&lt;=Settings!$B$3,DATE(YEAR(DV1),MONTH(DV1)+1,1),0)</f>
        <v>37742</v>
      </c>
      <c r="DX1" s="29">
        <f ca="1">IF(YEAR(DATE(YEAR(DW1),MONTH(DW1)+1,1))&lt;=Settings!$B$3,DATE(YEAR(DW1),MONTH(DW1)+1,1),0)</f>
        <v>37773</v>
      </c>
      <c r="DY1" s="29">
        <f ca="1">IF(YEAR(DATE(YEAR(DX1),MONTH(DX1)+1,1))&lt;=Settings!$B$3,DATE(YEAR(DX1),MONTH(DX1)+1,1),0)</f>
        <v>37803</v>
      </c>
      <c r="DZ1" s="29">
        <f ca="1">IF(YEAR(DATE(YEAR(DY1),MONTH(DY1)+1,1))&lt;=Settings!$B$3,DATE(YEAR(DY1),MONTH(DY1)+1,1),0)</f>
        <v>37834</v>
      </c>
      <c r="EA1" s="29">
        <f ca="1">IF(YEAR(DATE(YEAR(DZ1),MONTH(DZ1)+1,1))&lt;=Settings!$B$3,DATE(YEAR(DZ1),MONTH(DZ1)+1,1),0)</f>
        <v>37865</v>
      </c>
      <c r="EB1" s="29">
        <f ca="1">IF(YEAR(DATE(YEAR(EA1),MONTH(EA1)+1,1))&lt;=Settings!$B$3,DATE(YEAR(EA1),MONTH(EA1)+1,1),0)</f>
        <v>37895</v>
      </c>
      <c r="EC1" s="29">
        <f ca="1">IF(YEAR(DATE(YEAR(EB1),MONTH(EB1)+1,1))&lt;=Settings!$B$3,DATE(YEAR(EB1),MONTH(EB1)+1,1),0)</f>
        <v>37926</v>
      </c>
      <c r="ED1" s="29">
        <f ca="1">IF(YEAR(DATE(YEAR(EC1),MONTH(EC1)+1,1))&lt;=Settings!$B$3,DATE(YEAR(EC1),MONTH(EC1)+1,1),0)</f>
        <v>37956</v>
      </c>
      <c r="EE1" s="29">
        <f ca="1">IF(YEAR(DATE(YEAR(ED1),MONTH(ED1)+1,1))&lt;=Settings!$B$3,DATE(YEAR(ED1),MONTH(ED1)+1,1),0)</f>
        <v>37987</v>
      </c>
      <c r="EF1" s="29">
        <f ca="1">IF(YEAR(DATE(YEAR(EE1),MONTH(EE1)+1,1))&lt;=Settings!$B$3,DATE(YEAR(EE1),MONTH(EE1)+1,1),0)</f>
        <v>38018</v>
      </c>
      <c r="EG1" s="29">
        <f ca="1">IF(YEAR(DATE(YEAR(EF1),MONTH(EF1)+1,1))&lt;=Settings!$B$3,DATE(YEAR(EF1),MONTH(EF1)+1,1),0)</f>
        <v>38047</v>
      </c>
      <c r="EH1" s="29">
        <f ca="1">IF(YEAR(DATE(YEAR(EG1),MONTH(EG1)+1,1))&lt;=Settings!$B$3,DATE(YEAR(EG1),MONTH(EG1)+1,1),0)</f>
        <v>38078</v>
      </c>
      <c r="EI1" s="29">
        <f ca="1">IF(YEAR(DATE(YEAR(EH1),MONTH(EH1)+1,1))&lt;=Settings!$B$3,DATE(YEAR(EH1),MONTH(EH1)+1,1),0)</f>
        <v>38108</v>
      </c>
      <c r="EJ1" s="29">
        <f ca="1">IF(YEAR(DATE(YEAR(EI1),MONTH(EI1)+1,1))&lt;=Settings!$B$3,DATE(YEAR(EI1),MONTH(EI1)+1,1),0)</f>
        <v>38139</v>
      </c>
      <c r="EK1" s="29">
        <f ca="1">IF(YEAR(DATE(YEAR(EJ1),MONTH(EJ1)+1,1))&lt;=Settings!$B$3,DATE(YEAR(EJ1),MONTH(EJ1)+1,1),0)</f>
        <v>38169</v>
      </c>
      <c r="EL1" s="29">
        <f ca="1">IF(YEAR(DATE(YEAR(EK1),MONTH(EK1)+1,1))&lt;=Settings!$B$3,DATE(YEAR(EK1),MONTH(EK1)+1,1),0)</f>
        <v>38200</v>
      </c>
      <c r="EM1" s="29">
        <f ca="1">IF(YEAR(DATE(YEAR(EL1),MONTH(EL1)+1,1))&lt;=Settings!$B$3,DATE(YEAR(EL1),MONTH(EL1)+1,1),0)</f>
        <v>38231</v>
      </c>
      <c r="EN1" s="29">
        <f ca="1">IF(YEAR(DATE(YEAR(EM1),MONTH(EM1)+1,1))&lt;=Settings!$B$3,DATE(YEAR(EM1),MONTH(EM1)+1,1),0)</f>
        <v>38261</v>
      </c>
      <c r="EO1" s="29">
        <f ca="1">IF(YEAR(DATE(YEAR(EN1),MONTH(EN1)+1,1))&lt;=Settings!$B$3,DATE(YEAR(EN1),MONTH(EN1)+1,1),0)</f>
        <v>38292</v>
      </c>
      <c r="EP1" s="29">
        <f ca="1">IF(YEAR(DATE(YEAR(EO1),MONTH(EO1)+1,1))&lt;=Settings!$B$3,DATE(YEAR(EO1),MONTH(EO1)+1,1),0)</f>
        <v>38322</v>
      </c>
      <c r="EQ1" s="29">
        <f ca="1">IF(YEAR(DATE(YEAR(EP1),MONTH(EP1)+1,1))&lt;=Settings!$B$3,DATE(YEAR(EP1),MONTH(EP1)+1,1),0)</f>
        <v>38353</v>
      </c>
      <c r="ER1" s="29">
        <f ca="1">IF(YEAR(DATE(YEAR(EQ1),MONTH(EQ1)+1,1))&lt;=Settings!$B$3,DATE(YEAR(EQ1),MONTH(EQ1)+1,1),0)</f>
        <v>38384</v>
      </c>
      <c r="ES1" s="29">
        <f ca="1">IF(YEAR(DATE(YEAR(ER1),MONTH(ER1)+1,1))&lt;=Settings!$B$3,DATE(YEAR(ER1),MONTH(ER1)+1,1),0)</f>
        <v>38412</v>
      </c>
      <c r="ET1" s="29">
        <f ca="1">IF(YEAR(DATE(YEAR(ES1),MONTH(ES1)+1,1))&lt;=Settings!$B$3,DATE(YEAR(ES1),MONTH(ES1)+1,1),0)</f>
        <v>38443</v>
      </c>
      <c r="EU1" s="29">
        <f ca="1">IF(YEAR(DATE(YEAR(ET1),MONTH(ET1)+1,1))&lt;=Settings!$B$3,DATE(YEAR(ET1),MONTH(ET1)+1,1),0)</f>
        <v>38473</v>
      </c>
      <c r="EV1" s="29">
        <f ca="1">IF(YEAR(DATE(YEAR(EU1),MONTH(EU1)+1,1))&lt;=Settings!$B$3,DATE(YEAR(EU1),MONTH(EU1)+1,1),0)</f>
        <v>38504</v>
      </c>
      <c r="EW1" s="29">
        <f ca="1">IF(YEAR(DATE(YEAR(EV1),MONTH(EV1)+1,1))&lt;=Settings!$B$3,DATE(YEAR(EV1),MONTH(EV1)+1,1),0)</f>
        <v>38534</v>
      </c>
      <c r="EX1" s="29">
        <f ca="1">IF(YEAR(DATE(YEAR(EW1),MONTH(EW1)+1,1))&lt;=Settings!$B$3,DATE(YEAR(EW1),MONTH(EW1)+1,1),0)</f>
        <v>38565</v>
      </c>
      <c r="EY1" s="29">
        <f ca="1">IF(YEAR(DATE(YEAR(EX1),MONTH(EX1)+1,1))&lt;=Settings!$B$3,DATE(YEAR(EX1),MONTH(EX1)+1,1),0)</f>
        <v>38596</v>
      </c>
      <c r="EZ1" s="29">
        <f ca="1">IF(YEAR(DATE(YEAR(EY1),MONTH(EY1)+1,1))&lt;=Settings!$B$3,DATE(YEAR(EY1),MONTH(EY1)+1,1),0)</f>
        <v>38626</v>
      </c>
      <c r="FA1" s="29">
        <f ca="1">IF(YEAR(DATE(YEAR(EZ1),MONTH(EZ1)+1,1))&lt;=Settings!$B$3,DATE(YEAR(EZ1),MONTH(EZ1)+1,1),0)</f>
        <v>38657</v>
      </c>
      <c r="FB1" s="29">
        <f ca="1">IF(YEAR(DATE(YEAR(FA1),MONTH(FA1)+1,1))&lt;=Settings!$B$3,DATE(YEAR(FA1),MONTH(FA1)+1,1),0)</f>
        <v>38687</v>
      </c>
      <c r="FC1" s="29">
        <f ca="1">IF(YEAR(DATE(YEAR(FB1),MONTH(FB1)+1,1))&lt;=Settings!$B$3,DATE(YEAR(FB1),MONTH(FB1)+1,1),0)</f>
        <v>38718</v>
      </c>
      <c r="FD1" s="29">
        <f ca="1">IF(YEAR(DATE(YEAR(FC1),MONTH(FC1)+1,1))&lt;=Settings!$B$3,DATE(YEAR(FC1),MONTH(FC1)+1,1),0)</f>
        <v>38749</v>
      </c>
      <c r="FE1" s="29">
        <f ca="1">IF(YEAR(DATE(YEAR(FD1),MONTH(FD1)+1,1))&lt;=Settings!$B$3,DATE(YEAR(FD1),MONTH(FD1)+1,1),0)</f>
        <v>38777</v>
      </c>
      <c r="FF1" s="29">
        <f ca="1">IF(YEAR(DATE(YEAR(FE1),MONTH(FE1)+1,1))&lt;=Settings!$B$3,DATE(YEAR(FE1),MONTH(FE1)+1,1),0)</f>
        <v>38808</v>
      </c>
      <c r="FG1" s="29">
        <f ca="1">IF(YEAR(DATE(YEAR(FF1),MONTH(FF1)+1,1))&lt;=Settings!$B$3,DATE(YEAR(FF1),MONTH(FF1)+1,1),0)</f>
        <v>38838</v>
      </c>
      <c r="FH1" s="29">
        <f ca="1">IF(YEAR(DATE(YEAR(FG1),MONTH(FG1)+1,1))&lt;=Settings!$B$3,DATE(YEAR(FG1),MONTH(FG1)+1,1),0)</f>
        <v>38869</v>
      </c>
      <c r="FI1" s="29">
        <f ca="1">IF(YEAR(DATE(YEAR(FH1),MONTH(FH1)+1,1))&lt;=Settings!$B$3,DATE(YEAR(FH1),MONTH(FH1)+1,1),0)</f>
        <v>38899</v>
      </c>
      <c r="FJ1" s="29">
        <f ca="1">IF(YEAR(DATE(YEAR(FI1),MONTH(FI1)+1,1))&lt;=Settings!$B$3,DATE(YEAR(FI1),MONTH(FI1)+1,1),0)</f>
        <v>38930</v>
      </c>
      <c r="FK1" s="29">
        <f ca="1">IF(YEAR(DATE(YEAR(FJ1),MONTH(FJ1)+1,1))&lt;=Settings!$B$3,DATE(YEAR(FJ1),MONTH(FJ1)+1,1),0)</f>
        <v>38961</v>
      </c>
      <c r="FL1" s="29">
        <f ca="1">IF(YEAR(DATE(YEAR(FK1),MONTH(FK1)+1,1))&lt;=Settings!$B$3,DATE(YEAR(FK1),MONTH(FK1)+1,1),0)</f>
        <v>38991</v>
      </c>
      <c r="FM1" s="29">
        <f ca="1">IF(YEAR(DATE(YEAR(FL1),MONTH(FL1)+1,1))&lt;=Settings!$B$3,DATE(YEAR(FL1),MONTH(FL1)+1,1),0)</f>
        <v>39022</v>
      </c>
      <c r="FN1" s="29">
        <f ca="1">IF(YEAR(DATE(YEAR(FM1),MONTH(FM1)+1,1))&lt;=Settings!$B$3,DATE(YEAR(FM1),MONTH(FM1)+1,1),0)</f>
        <v>39052</v>
      </c>
      <c r="FO1" s="29">
        <f ca="1">IF(YEAR(DATE(YEAR(FN1),MONTH(FN1)+1,1))&lt;=Settings!$B$3,DATE(YEAR(FN1),MONTH(FN1)+1,1),0)</f>
        <v>39083</v>
      </c>
      <c r="FP1" s="29">
        <f ca="1">IF(YEAR(DATE(YEAR(FO1),MONTH(FO1)+1,1))&lt;=Settings!$B$3,DATE(YEAR(FO1),MONTH(FO1)+1,1),0)</f>
        <v>39114</v>
      </c>
      <c r="FQ1" s="29">
        <f ca="1">IF(YEAR(DATE(YEAR(FP1),MONTH(FP1)+1,1))&lt;=Settings!$B$3,DATE(YEAR(FP1),MONTH(FP1)+1,1),0)</f>
        <v>39142</v>
      </c>
      <c r="FR1" s="29">
        <f ca="1">IF(YEAR(DATE(YEAR(FQ1),MONTH(FQ1)+1,1))&lt;=Settings!$B$3,DATE(YEAR(FQ1),MONTH(FQ1)+1,1),0)</f>
        <v>39173</v>
      </c>
      <c r="FS1" s="29">
        <f ca="1">IF(YEAR(DATE(YEAR(FR1),MONTH(FR1)+1,1))&lt;=Settings!$B$3,DATE(YEAR(FR1),MONTH(FR1)+1,1),0)</f>
        <v>39203</v>
      </c>
      <c r="FT1" s="29">
        <f ca="1">IF(YEAR(DATE(YEAR(FS1),MONTH(FS1)+1,1))&lt;=Settings!$B$3,DATE(YEAR(FS1),MONTH(FS1)+1,1),0)</f>
        <v>39234</v>
      </c>
      <c r="FU1" s="29">
        <f ca="1">IF(YEAR(DATE(YEAR(FT1),MONTH(FT1)+1,1))&lt;=Settings!$B$3,DATE(YEAR(FT1),MONTH(FT1)+1,1),0)</f>
        <v>39264</v>
      </c>
      <c r="FV1" s="29">
        <f ca="1">IF(YEAR(DATE(YEAR(FU1),MONTH(FU1)+1,1))&lt;=Settings!$B$3,DATE(YEAR(FU1),MONTH(FU1)+1,1),0)</f>
        <v>39295</v>
      </c>
      <c r="FW1" s="29">
        <f ca="1">IF(YEAR(DATE(YEAR(FV1),MONTH(FV1)+1,1))&lt;=Settings!$B$3,DATE(YEAR(FV1),MONTH(FV1)+1,1),0)</f>
        <v>39326</v>
      </c>
      <c r="FX1" s="29">
        <f ca="1">IF(YEAR(DATE(YEAR(FW1),MONTH(FW1)+1,1))&lt;=Settings!$B$3,DATE(YEAR(FW1),MONTH(FW1)+1,1),0)</f>
        <v>39356</v>
      </c>
      <c r="FY1" s="29">
        <f ca="1">IF(YEAR(DATE(YEAR(FX1),MONTH(FX1)+1,1))&lt;=Settings!$B$3,DATE(YEAR(FX1),MONTH(FX1)+1,1),0)</f>
        <v>39387</v>
      </c>
      <c r="FZ1" s="29">
        <f ca="1">IF(YEAR(DATE(YEAR(FY1),MONTH(FY1)+1,1))&lt;=Settings!$B$3,DATE(YEAR(FY1),MONTH(FY1)+1,1),0)</f>
        <v>39417</v>
      </c>
      <c r="GA1" s="29">
        <f ca="1">IF(YEAR(DATE(YEAR(FZ1),MONTH(FZ1)+1,1))&lt;=Settings!$B$3,DATE(YEAR(FZ1),MONTH(FZ1)+1,1),0)</f>
        <v>39448</v>
      </c>
      <c r="GB1" s="29">
        <f ca="1">IF(YEAR(DATE(YEAR(GA1),MONTH(GA1)+1,1))&lt;=Settings!$B$3,DATE(YEAR(GA1),MONTH(GA1)+1,1),0)</f>
        <v>39479</v>
      </c>
      <c r="GC1" s="29">
        <f ca="1">IF(YEAR(DATE(YEAR(GB1),MONTH(GB1)+1,1))&lt;=Settings!$B$3,DATE(YEAR(GB1),MONTH(GB1)+1,1),0)</f>
        <v>39508</v>
      </c>
      <c r="GD1" s="29">
        <f ca="1">IF(YEAR(DATE(YEAR(GC1),MONTH(GC1)+1,1))&lt;=Settings!$B$3,DATE(YEAR(GC1),MONTH(GC1)+1,1),0)</f>
        <v>39539</v>
      </c>
      <c r="GE1" s="29">
        <f ca="1">IF(YEAR(DATE(YEAR(GD1),MONTH(GD1)+1,1))&lt;=Settings!$B$3,DATE(YEAR(GD1),MONTH(GD1)+1,1),0)</f>
        <v>39569</v>
      </c>
      <c r="GF1" s="29">
        <f ca="1">IF(YEAR(DATE(YEAR(GE1),MONTH(GE1)+1,1))&lt;=Settings!$B$3,DATE(YEAR(GE1),MONTH(GE1)+1,1),0)</f>
        <v>39600</v>
      </c>
      <c r="GG1" s="29">
        <f ca="1">IF(YEAR(DATE(YEAR(GF1),MONTH(GF1)+1,1))&lt;=Settings!$B$3,DATE(YEAR(GF1),MONTH(GF1)+1,1),0)</f>
        <v>39630</v>
      </c>
      <c r="GH1" s="29">
        <f ca="1">IF(YEAR(DATE(YEAR(GG1),MONTH(GG1)+1,1))&lt;=Settings!$B$3,DATE(YEAR(GG1),MONTH(GG1)+1,1),0)</f>
        <v>39661</v>
      </c>
      <c r="GI1" s="29">
        <f ca="1">IF(YEAR(DATE(YEAR(GH1),MONTH(GH1)+1,1))&lt;=Settings!$B$3,DATE(YEAR(GH1),MONTH(GH1)+1,1),0)</f>
        <v>39692</v>
      </c>
      <c r="GJ1" s="29">
        <f ca="1">IF(YEAR(DATE(YEAR(GI1),MONTH(GI1)+1,1))&lt;=Settings!$B$3,DATE(YEAR(GI1),MONTH(GI1)+1,1),0)</f>
        <v>39722</v>
      </c>
      <c r="GK1" s="29">
        <f ca="1">IF(YEAR(DATE(YEAR(GJ1),MONTH(GJ1)+1,1))&lt;=Settings!$B$3,DATE(YEAR(GJ1),MONTH(GJ1)+1,1),0)</f>
        <v>39753</v>
      </c>
      <c r="GL1" s="29">
        <f ca="1">IF(YEAR(DATE(YEAR(GK1),MONTH(GK1)+1,1))&lt;=Settings!$B$3,DATE(YEAR(GK1),MONTH(GK1)+1,1),0)</f>
        <v>39783</v>
      </c>
      <c r="GM1" s="29">
        <f ca="1">IF(YEAR(DATE(YEAR(GL1),MONTH(GL1)+1,1))&lt;=Settings!$B$3,DATE(YEAR(GL1),MONTH(GL1)+1,1),0)</f>
        <v>39814</v>
      </c>
      <c r="GN1" s="29">
        <f ca="1">IF(YEAR(DATE(YEAR(GM1),MONTH(GM1)+1,1))&lt;=Settings!$B$3,DATE(YEAR(GM1),MONTH(GM1)+1,1),0)</f>
        <v>39845</v>
      </c>
      <c r="GO1" s="29">
        <f ca="1">IF(YEAR(DATE(YEAR(GN1),MONTH(GN1)+1,1))&lt;=Settings!$B$3,DATE(YEAR(GN1),MONTH(GN1)+1,1),0)</f>
        <v>39873</v>
      </c>
      <c r="GP1" s="29">
        <f ca="1">IF(YEAR(DATE(YEAR(GO1),MONTH(GO1)+1,1))&lt;=Settings!$B$3,DATE(YEAR(GO1),MONTH(GO1)+1,1),0)</f>
        <v>39904</v>
      </c>
      <c r="GQ1" s="29">
        <f ca="1">IF(YEAR(DATE(YEAR(GP1),MONTH(GP1)+1,1))&lt;=Settings!$B$3,DATE(YEAR(GP1),MONTH(GP1)+1,1),0)</f>
        <v>39934</v>
      </c>
      <c r="GR1" s="29">
        <f ca="1">IF(YEAR(DATE(YEAR(GQ1),MONTH(GQ1)+1,1))&lt;=Settings!$B$3,DATE(YEAR(GQ1),MONTH(GQ1)+1,1),0)</f>
        <v>39965</v>
      </c>
      <c r="GS1" s="29">
        <f ca="1">IF(YEAR(DATE(YEAR(GR1),MONTH(GR1)+1,1))&lt;=Settings!$B$3,DATE(YEAR(GR1),MONTH(GR1)+1,1),0)</f>
        <v>39995</v>
      </c>
      <c r="GT1" s="29">
        <f ca="1">IF(YEAR(DATE(YEAR(GS1),MONTH(GS1)+1,1))&lt;=Settings!$B$3,DATE(YEAR(GS1),MONTH(GS1)+1,1),0)</f>
        <v>40026</v>
      </c>
      <c r="GU1" s="29">
        <f ca="1">IF(YEAR(DATE(YEAR(GT1),MONTH(GT1)+1,1))&lt;=Settings!$B$3,DATE(YEAR(GT1),MONTH(GT1)+1,1),0)</f>
        <v>40057</v>
      </c>
      <c r="GV1" s="29">
        <f ca="1">IF(YEAR(DATE(YEAR(GU1),MONTH(GU1)+1,1))&lt;=Settings!$B$3,DATE(YEAR(GU1),MONTH(GU1)+1,1),0)</f>
        <v>40087</v>
      </c>
      <c r="GW1" s="29">
        <f ca="1">IF(YEAR(DATE(YEAR(GV1),MONTH(GV1)+1,1))&lt;=Settings!$B$3,DATE(YEAR(GV1),MONTH(GV1)+1,1),0)</f>
        <v>40118</v>
      </c>
      <c r="GX1" s="29">
        <f ca="1">IF(YEAR(DATE(YEAR(GW1),MONTH(GW1)+1,1))&lt;=Settings!$B$3,DATE(YEAR(GW1),MONTH(GW1)+1,1),0)</f>
        <v>40148</v>
      </c>
      <c r="GY1" s="29">
        <f ca="1">IF(YEAR(DATE(YEAR(GX1),MONTH(GX1)+1,1))&lt;=Settings!$B$3,DATE(YEAR(GX1),MONTH(GX1)+1,1),0)</f>
        <v>40179</v>
      </c>
      <c r="GZ1" s="29">
        <f ca="1">IF(YEAR(DATE(YEAR(GY1),MONTH(GY1)+1,1))&lt;=Settings!$B$3,DATE(YEAR(GY1),MONTH(GY1)+1,1),0)</f>
        <v>40210</v>
      </c>
      <c r="HA1" s="29">
        <f ca="1">IF(YEAR(DATE(YEAR(GZ1),MONTH(GZ1)+1,1))&lt;=Settings!$B$3,DATE(YEAR(GZ1),MONTH(GZ1)+1,1),0)</f>
        <v>40238</v>
      </c>
      <c r="HB1" s="29">
        <f ca="1">IF(YEAR(DATE(YEAR(HA1),MONTH(HA1)+1,1))&lt;=Settings!$B$3,DATE(YEAR(HA1),MONTH(HA1)+1,1),0)</f>
        <v>40269</v>
      </c>
      <c r="HC1" s="29">
        <f ca="1">IF(YEAR(DATE(YEAR(HB1),MONTH(HB1)+1,1))&lt;=Settings!$B$3,DATE(YEAR(HB1),MONTH(HB1)+1,1),0)</f>
        <v>40299</v>
      </c>
      <c r="HD1" s="29">
        <f ca="1">IF(YEAR(DATE(YEAR(HC1),MONTH(HC1)+1,1))&lt;=Settings!$B$3,DATE(YEAR(HC1),MONTH(HC1)+1,1),0)</f>
        <v>40330</v>
      </c>
      <c r="HE1" s="29">
        <f ca="1">IF(YEAR(DATE(YEAR(HD1),MONTH(HD1)+1,1))&lt;=Settings!$B$3,DATE(YEAR(HD1),MONTH(HD1)+1,1),0)</f>
        <v>40360</v>
      </c>
      <c r="HF1" s="29">
        <f ca="1">IF(YEAR(DATE(YEAR(HE1),MONTH(HE1)+1,1))&lt;=Settings!$B$3,DATE(YEAR(HE1),MONTH(HE1)+1,1),0)</f>
        <v>40391</v>
      </c>
      <c r="HG1" s="29">
        <f ca="1">IF(YEAR(DATE(YEAR(HF1),MONTH(HF1)+1,1))&lt;=Settings!$B$3,DATE(YEAR(HF1),MONTH(HF1)+1,1),0)</f>
        <v>40422</v>
      </c>
      <c r="HH1" s="29">
        <f ca="1">IF(YEAR(DATE(YEAR(HG1),MONTH(HG1)+1,1))&lt;=Settings!$B$3,DATE(YEAR(HG1),MONTH(HG1)+1,1),0)</f>
        <v>40452</v>
      </c>
      <c r="HI1" s="29">
        <f ca="1">IF(YEAR(DATE(YEAR(HH1),MONTH(HH1)+1,1))&lt;=Settings!$B$3,DATE(YEAR(HH1),MONTH(HH1)+1,1),0)</f>
        <v>40483</v>
      </c>
      <c r="HJ1" s="29">
        <f ca="1">IF(YEAR(DATE(YEAR(HI1),MONTH(HI1)+1,1))&lt;=Settings!$B$3,DATE(YEAR(HI1),MONTH(HI1)+1,1),0)</f>
        <v>40513</v>
      </c>
      <c r="HK1" s="29">
        <f ca="1">IF(YEAR(DATE(YEAR(HJ1),MONTH(HJ1)+1,1))&lt;=Settings!$B$3,DATE(YEAR(HJ1),MONTH(HJ1)+1,1),0)</f>
        <v>40544</v>
      </c>
      <c r="HL1" s="29">
        <f ca="1">IF(YEAR(DATE(YEAR(HK1),MONTH(HK1)+1,1))&lt;=Settings!$B$3,DATE(YEAR(HK1),MONTH(HK1)+1,1),0)</f>
        <v>40575</v>
      </c>
      <c r="HM1" s="29">
        <f ca="1">IF(YEAR(DATE(YEAR(HL1),MONTH(HL1)+1,1))&lt;=Settings!$B$3,DATE(YEAR(HL1),MONTH(HL1)+1,1),0)</f>
        <v>40603</v>
      </c>
      <c r="HN1" s="29">
        <f ca="1">IF(YEAR(DATE(YEAR(HM1),MONTH(HM1)+1,1))&lt;=Settings!$B$3,DATE(YEAR(HM1),MONTH(HM1)+1,1),0)</f>
        <v>40634</v>
      </c>
      <c r="HO1" s="29">
        <f ca="1">IF(YEAR(DATE(YEAR(HN1),MONTH(HN1)+1,1))&lt;=Settings!$B$3,DATE(YEAR(HN1),MONTH(HN1)+1,1),0)</f>
        <v>40664</v>
      </c>
      <c r="HP1" s="29">
        <f ca="1">IF(YEAR(DATE(YEAR(HO1),MONTH(HO1)+1,1))&lt;=Settings!$B$3,DATE(YEAR(HO1),MONTH(HO1)+1,1),0)</f>
        <v>40695</v>
      </c>
      <c r="HQ1" s="29">
        <f ca="1">IF(YEAR(DATE(YEAR(HP1),MONTH(HP1)+1,1))&lt;=Settings!$B$3,DATE(YEAR(HP1),MONTH(HP1)+1,1),0)</f>
        <v>40725</v>
      </c>
      <c r="HR1" s="29">
        <f ca="1">IF(YEAR(DATE(YEAR(HQ1),MONTH(HQ1)+1,1))&lt;=Settings!$B$3,DATE(YEAR(HQ1),MONTH(HQ1)+1,1),0)</f>
        <v>40756</v>
      </c>
      <c r="HS1" s="29">
        <f ca="1">IF(YEAR(DATE(YEAR(HR1),MONTH(HR1)+1,1))&lt;=Settings!$B$3,DATE(YEAR(HR1),MONTH(HR1)+1,1),0)</f>
        <v>40787</v>
      </c>
      <c r="HT1" s="29">
        <f ca="1">IF(YEAR(DATE(YEAR(HS1),MONTH(HS1)+1,1))&lt;=Settings!$B$3,DATE(YEAR(HS1),MONTH(HS1)+1,1),0)</f>
        <v>40817</v>
      </c>
      <c r="HU1" s="29">
        <f ca="1">IF(YEAR(DATE(YEAR(HT1),MONTH(HT1)+1,1))&lt;=Settings!$B$3,DATE(YEAR(HT1),MONTH(HT1)+1,1),0)</f>
        <v>40848</v>
      </c>
      <c r="HV1" s="29">
        <f ca="1">IF(YEAR(DATE(YEAR(HU1),MONTH(HU1)+1,1))&lt;=Settings!$B$3,DATE(YEAR(HU1),MONTH(HU1)+1,1),0)</f>
        <v>40878</v>
      </c>
      <c r="HW1" s="29">
        <f ca="1">IF(YEAR(DATE(YEAR(HV1),MONTH(HV1)+1,1))&lt;=Settings!$B$3,DATE(YEAR(HV1),MONTH(HV1)+1,1),0)</f>
        <v>40909</v>
      </c>
      <c r="HX1" s="29">
        <f ca="1">IF(YEAR(DATE(YEAR(HW1),MONTH(HW1)+1,1))&lt;=Settings!$B$3,DATE(YEAR(HW1),MONTH(HW1)+1,1),0)</f>
        <v>40940</v>
      </c>
      <c r="HY1" s="29">
        <f ca="1">IF(YEAR(DATE(YEAR(HX1),MONTH(HX1)+1,1))&lt;=Settings!$B$3,DATE(YEAR(HX1),MONTH(HX1)+1,1),0)</f>
        <v>40969</v>
      </c>
      <c r="HZ1" s="29">
        <f ca="1">IF(YEAR(DATE(YEAR(HY1),MONTH(HY1)+1,1))&lt;=Settings!$B$3,DATE(YEAR(HY1),MONTH(HY1)+1,1),0)</f>
        <v>41000</v>
      </c>
      <c r="IA1" s="29">
        <f ca="1">IF(YEAR(DATE(YEAR(HZ1),MONTH(HZ1)+1,1))&lt;=Settings!$B$3,DATE(YEAR(HZ1),MONTH(HZ1)+1,1),0)</f>
        <v>41030</v>
      </c>
      <c r="IB1" s="29">
        <f ca="1">IF(YEAR(DATE(YEAR(IA1),MONTH(IA1)+1,1))&lt;=Settings!$B$3,DATE(YEAR(IA1),MONTH(IA1)+1,1),0)</f>
        <v>41061</v>
      </c>
      <c r="IC1" s="29">
        <f ca="1">IF(YEAR(DATE(YEAR(IB1),MONTH(IB1)+1,1))&lt;=Settings!$B$3,DATE(YEAR(IB1),MONTH(IB1)+1,1),0)</f>
        <v>41091</v>
      </c>
      <c r="ID1" s="29">
        <f ca="1">IF(YEAR(DATE(YEAR(IC1),MONTH(IC1)+1,1))&lt;=Settings!$B$3,DATE(YEAR(IC1),MONTH(IC1)+1,1),0)</f>
        <v>41122</v>
      </c>
      <c r="IE1" s="29">
        <f ca="1">IF(YEAR(DATE(YEAR(ID1),MONTH(ID1)+1,1))&lt;=Settings!$B$3,DATE(YEAR(ID1),MONTH(ID1)+1,1),0)</f>
        <v>41153</v>
      </c>
      <c r="IF1" s="29">
        <f ca="1">IF(YEAR(DATE(YEAR(IE1),MONTH(IE1)+1,1))&lt;=Settings!$B$3,DATE(YEAR(IE1),MONTH(IE1)+1,1),0)</f>
        <v>41183</v>
      </c>
      <c r="IG1" s="29">
        <f ca="1">IF(YEAR(DATE(YEAR(IF1),MONTH(IF1)+1,1))&lt;=Settings!$B$3,DATE(YEAR(IF1),MONTH(IF1)+1,1),0)</f>
        <v>41214</v>
      </c>
      <c r="IH1" s="29">
        <f ca="1">IF(YEAR(DATE(YEAR(IG1),MONTH(IG1)+1,1))&lt;=Settings!$B$3,DATE(YEAR(IG1),MONTH(IG1)+1,1),0)</f>
        <v>41244</v>
      </c>
      <c r="II1" s="29">
        <f ca="1">IF(YEAR(DATE(YEAR(IH1),MONTH(IH1)+1,1))&lt;=Settings!$B$3,DATE(YEAR(IH1),MONTH(IH1)+1,1),0)</f>
        <v>41275</v>
      </c>
      <c r="IJ1" s="29">
        <f ca="1">IF(YEAR(DATE(YEAR(II1),MONTH(II1)+1,1))&lt;=Settings!$B$3,DATE(YEAR(II1),MONTH(II1)+1,1),0)</f>
        <v>41306</v>
      </c>
      <c r="IK1" s="29">
        <f ca="1">IF(YEAR(DATE(YEAR(IJ1),MONTH(IJ1)+1,1))&lt;=Settings!$B$3,DATE(YEAR(IJ1),MONTH(IJ1)+1,1),0)</f>
        <v>41334</v>
      </c>
      <c r="IL1" s="29">
        <f ca="1">IF(YEAR(DATE(YEAR(IK1),MONTH(IK1)+1,1))&lt;=Settings!$B$3,DATE(YEAR(IK1),MONTH(IK1)+1,1),0)</f>
        <v>41365</v>
      </c>
      <c r="IM1" s="29">
        <f ca="1">IF(YEAR(DATE(YEAR(IL1),MONTH(IL1)+1,1))&lt;=Settings!$B$3,DATE(YEAR(IL1),MONTH(IL1)+1,1),0)</f>
        <v>41395</v>
      </c>
      <c r="IN1" s="29">
        <f ca="1">IF(YEAR(DATE(YEAR(IM1),MONTH(IM1)+1,1))&lt;=Settings!$B$3,DATE(YEAR(IM1),MONTH(IM1)+1,1),0)</f>
        <v>41426</v>
      </c>
      <c r="IO1" s="29">
        <f ca="1">IF(YEAR(DATE(YEAR(IN1),MONTH(IN1)+1,1))&lt;=Settings!$B$3,DATE(YEAR(IN1),MONTH(IN1)+1,1),0)</f>
        <v>41456</v>
      </c>
      <c r="IP1" s="29">
        <f ca="1">IF(YEAR(DATE(YEAR(IO1),MONTH(IO1)+1,1))&lt;=Settings!$B$3,DATE(YEAR(IO1),MONTH(IO1)+1,1),0)</f>
        <v>41487</v>
      </c>
      <c r="IQ1" s="29">
        <f ca="1">IF(YEAR(DATE(YEAR(IP1),MONTH(IP1)+1,1))&lt;=Settings!$B$3,DATE(YEAR(IP1),MONTH(IP1)+1,1),0)</f>
        <v>41518</v>
      </c>
      <c r="IR1" s="29">
        <f ca="1">IF(YEAR(DATE(YEAR(IQ1),MONTH(IQ1)+1,1))&lt;=Settings!$B$3,DATE(YEAR(IQ1),MONTH(IQ1)+1,1),0)</f>
        <v>41548</v>
      </c>
      <c r="IS1" s="29">
        <f ca="1">IF(YEAR(DATE(YEAR(IR1),MONTH(IR1)+1,1))&lt;=Settings!$B$3,DATE(YEAR(IR1),MONTH(IR1)+1,1),0)</f>
        <v>41579</v>
      </c>
      <c r="IT1" s="29">
        <f ca="1">IF(YEAR(DATE(YEAR(IS1),MONTH(IS1)+1,1))&lt;=Settings!$B$3,DATE(YEAR(IS1),MONTH(IS1)+1,1),0)</f>
        <v>41609</v>
      </c>
      <c r="IU1" s="29">
        <f ca="1">IF(YEAR(DATE(YEAR(IT1),MONTH(IT1)+1,1))&lt;=Settings!$B$3,DATE(YEAR(IT1),MONTH(IT1)+1,1),0)</f>
        <v>41640</v>
      </c>
      <c r="IV1" s="29">
        <f ca="1">IF(YEAR(DATE(YEAR(IU1),MONTH(IU1)+1,1))&lt;=Settings!$B$3,DATE(YEAR(IU1),MONTH(IU1)+1,1),0)</f>
        <v>41671</v>
      </c>
      <c r="IW1" s="29">
        <f ca="1">IF(YEAR(DATE(YEAR(IV1),MONTH(IV1)+1,1))&lt;=Settings!$B$3,DATE(YEAR(IV1),MONTH(IV1)+1,1),0)</f>
        <v>41699</v>
      </c>
      <c r="IX1" s="29">
        <f ca="1">IF(YEAR(DATE(YEAR(IW1),MONTH(IW1)+1,1))&lt;=Settings!$B$3,DATE(YEAR(IW1),MONTH(IW1)+1,1),0)</f>
        <v>41730</v>
      </c>
      <c r="IY1" s="29">
        <f ca="1">IF(YEAR(DATE(YEAR(IX1),MONTH(IX1)+1,1))&lt;=Settings!$B$3,DATE(YEAR(IX1),MONTH(IX1)+1,1),0)</f>
        <v>41760</v>
      </c>
      <c r="IZ1" s="29">
        <f ca="1">IF(YEAR(DATE(YEAR(IY1),MONTH(IY1)+1,1))&lt;=Settings!$B$3,DATE(YEAR(IY1),MONTH(IY1)+1,1),0)</f>
        <v>41791</v>
      </c>
      <c r="JA1" s="29">
        <f ca="1">IF(YEAR(DATE(YEAR(IZ1),MONTH(IZ1)+1,1))&lt;=Settings!$B$3,DATE(YEAR(IZ1),MONTH(IZ1)+1,1),0)</f>
        <v>41821</v>
      </c>
      <c r="JB1" s="29">
        <f ca="1">IF(YEAR(DATE(YEAR(JA1),MONTH(JA1)+1,1))&lt;=Settings!$B$3,DATE(YEAR(JA1),MONTH(JA1)+1,1),0)</f>
        <v>41852</v>
      </c>
      <c r="JC1" s="29">
        <f ca="1">IF(YEAR(DATE(YEAR(JB1),MONTH(JB1)+1,1))&lt;=Settings!$B$3,DATE(YEAR(JB1),MONTH(JB1)+1,1),0)</f>
        <v>41883</v>
      </c>
      <c r="JD1" s="29">
        <f ca="1">IF(YEAR(DATE(YEAR(JC1),MONTH(JC1)+1,1))&lt;=Settings!$B$3,DATE(YEAR(JC1),MONTH(JC1)+1,1),0)</f>
        <v>41913</v>
      </c>
      <c r="JE1" s="29">
        <f ca="1">IF(YEAR(DATE(YEAR(JD1),MONTH(JD1)+1,1))&lt;=Settings!$B$3,DATE(YEAR(JD1),MONTH(JD1)+1,1),0)</f>
        <v>41944</v>
      </c>
      <c r="JF1" s="29">
        <f ca="1">IF(YEAR(DATE(YEAR(JE1),MONTH(JE1)+1,1))&lt;=Settings!$B$3,DATE(YEAR(JE1),MONTH(JE1)+1,1),0)</f>
        <v>41974</v>
      </c>
      <c r="JG1" s="29">
        <f ca="1">IF(YEAR(DATE(YEAR(JF1),MONTH(JF1)+1,1))&lt;=Settings!$B$3,DATE(YEAR(JF1),MONTH(JF1)+1,1),0)</f>
        <v>42005</v>
      </c>
      <c r="JH1" s="29">
        <f ca="1">IF(YEAR(DATE(YEAR(JG1),MONTH(JG1)+1,1))&lt;=Settings!$B$3,DATE(YEAR(JG1),MONTH(JG1)+1,1),0)</f>
        <v>42036</v>
      </c>
      <c r="JI1" s="29">
        <f ca="1">IF(YEAR(DATE(YEAR(JH1),MONTH(JH1)+1,1))&lt;=Settings!$B$3,DATE(YEAR(JH1),MONTH(JH1)+1,1),0)</f>
        <v>42064</v>
      </c>
      <c r="JJ1" s="29">
        <f ca="1">IF(YEAR(DATE(YEAR(JI1),MONTH(JI1)+1,1))&lt;=Settings!$B$3,DATE(YEAR(JI1),MONTH(JI1)+1,1),0)</f>
        <v>42095</v>
      </c>
      <c r="JK1" s="29">
        <f ca="1">IF(YEAR(DATE(YEAR(JJ1),MONTH(JJ1)+1,1))&lt;=Settings!$B$3,DATE(YEAR(JJ1),MONTH(JJ1)+1,1),0)</f>
        <v>42125</v>
      </c>
      <c r="JL1" s="29">
        <f ca="1">IF(YEAR(DATE(YEAR(JK1),MONTH(JK1)+1,1))&lt;=Settings!$B$3,DATE(YEAR(JK1),MONTH(JK1)+1,1),0)</f>
        <v>42156</v>
      </c>
      <c r="JM1" s="29">
        <f ca="1">IF(YEAR(DATE(YEAR(JL1),MONTH(JL1)+1,1))&lt;=Settings!$B$3,DATE(YEAR(JL1),MONTH(JL1)+1,1),0)</f>
        <v>42186</v>
      </c>
      <c r="JN1" s="29">
        <f ca="1">IF(YEAR(DATE(YEAR(JM1),MONTH(JM1)+1,1))&lt;=Settings!$B$3,DATE(YEAR(JM1),MONTH(JM1)+1,1),0)</f>
        <v>42217</v>
      </c>
      <c r="JO1" s="29">
        <f ca="1">IF(YEAR(DATE(YEAR(JN1),MONTH(JN1)+1,1))&lt;=Settings!$B$3,DATE(YEAR(JN1),MONTH(JN1)+1,1),0)</f>
        <v>42248</v>
      </c>
      <c r="JP1" s="29">
        <f ca="1">IF(YEAR(DATE(YEAR(JO1),MONTH(JO1)+1,1))&lt;=Settings!$B$3,DATE(YEAR(JO1),MONTH(JO1)+1,1),0)</f>
        <v>42278</v>
      </c>
      <c r="JQ1" s="29">
        <f ca="1">IF(YEAR(DATE(YEAR(JP1),MONTH(JP1)+1,1))&lt;=Settings!$B$3,DATE(YEAR(JP1),MONTH(JP1)+1,1),0)</f>
        <v>42309</v>
      </c>
      <c r="JR1" s="29">
        <f ca="1">IF(YEAR(DATE(YEAR(JQ1),MONTH(JQ1)+1,1))&lt;=Settings!$B$3,DATE(YEAR(JQ1),MONTH(JQ1)+1,1),0)</f>
        <v>42339</v>
      </c>
      <c r="JS1" s="29">
        <f ca="1">IF(YEAR(DATE(YEAR(JR1),MONTH(JR1)+1,1))&lt;=Settings!$B$3,DATE(YEAR(JR1),MONTH(JR1)+1,1),0)</f>
        <v>42370</v>
      </c>
      <c r="JT1" s="29">
        <f ca="1">IF(YEAR(DATE(YEAR(JS1),MONTH(JS1)+1,1))&lt;=Settings!$B$3,DATE(YEAR(JS1),MONTH(JS1)+1,1),0)</f>
        <v>42401</v>
      </c>
      <c r="JU1" s="29">
        <f ca="1">IF(YEAR(DATE(YEAR(JT1),MONTH(JT1)+1,1))&lt;=Settings!$B$3,DATE(YEAR(JT1),MONTH(JT1)+1,1),0)</f>
        <v>42430</v>
      </c>
      <c r="JV1" s="29">
        <f ca="1">IF(YEAR(DATE(YEAR(JU1),MONTH(JU1)+1,1))&lt;=Settings!$B$3,DATE(YEAR(JU1),MONTH(JU1)+1,1),0)</f>
        <v>42461</v>
      </c>
      <c r="JW1" s="29">
        <f ca="1">IF(YEAR(DATE(YEAR(JV1),MONTH(JV1)+1,1))&lt;=Settings!$B$3,DATE(YEAR(JV1),MONTH(JV1)+1,1),0)</f>
        <v>42491</v>
      </c>
      <c r="JX1" s="29">
        <f ca="1">IF(YEAR(DATE(YEAR(JW1),MONTH(JW1)+1,1))&lt;=Settings!$B$3,DATE(YEAR(JW1),MONTH(JW1)+1,1),0)</f>
        <v>42522</v>
      </c>
      <c r="JY1" s="29">
        <f ca="1">IF(YEAR(DATE(YEAR(JX1),MONTH(JX1)+1,1))&lt;=Settings!$B$3,DATE(YEAR(JX1),MONTH(JX1)+1,1),0)</f>
        <v>42552</v>
      </c>
      <c r="JZ1" s="29">
        <f ca="1">IF(YEAR(DATE(YEAR(JY1),MONTH(JY1)+1,1))&lt;=Settings!$B$3,DATE(YEAR(JY1),MONTH(JY1)+1,1),0)</f>
        <v>42583</v>
      </c>
      <c r="KA1" s="29">
        <f ca="1">IF(YEAR(DATE(YEAR(JZ1),MONTH(JZ1)+1,1))&lt;=Settings!$B$3,DATE(YEAR(JZ1),MONTH(JZ1)+1,1),0)</f>
        <v>42614</v>
      </c>
      <c r="KB1" s="29">
        <f ca="1">IF(YEAR(DATE(YEAR(KA1),MONTH(KA1)+1,1))&lt;=Settings!$B$3,DATE(YEAR(KA1),MONTH(KA1)+1,1),0)</f>
        <v>42644</v>
      </c>
      <c r="KC1" s="29">
        <f ca="1">IF(YEAR(DATE(YEAR(KB1),MONTH(KB1)+1,1))&lt;=Settings!$B$3,DATE(YEAR(KB1),MONTH(KB1)+1,1),0)</f>
        <v>42675</v>
      </c>
      <c r="KD1" s="29">
        <f ca="1">IF(YEAR(DATE(YEAR(KC1),MONTH(KC1)+1,1))&lt;=Settings!$B$3,DATE(YEAR(KC1),MONTH(KC1)+1,1),0)</f>
        <v>42705</v>
      </c>
      <c r="KE1" s="29">
        <f ca="1">IF(YEAR(DATE(YEAR(KD1),MONTH(KD1)+1,1))&lt;=Settings!$B$3,DATE(YEAR(KD1),MONTH(KD1)+1,1),0)</f>
        <v>42736</v>
      </c>
      <c r="KF1" s="29">
        <f ca="1">IF(YEAR(DATE(YEAR(KE1),MONTH(KE1)+1,1))&lt;=Settings!$B$3,DATE(YEAR(KE1),MONTH(KE1)+1,1),0)</f>
        <v>42767</v>
      </c>
      <c r="KG1" s="29">
        <f ca="1">IF(YEAR(DATE(YEAR(KF1),MONTH(KF1)+1,1))&lt;=Settings!$B$3,DATE(YEAR(KF1),MONTH(KF1)+1,1),0)</f>
        <v>42795</v>
      </c>
      <c r="KH1" s="29">
        <f ca="1">IF(YEAR(DATE(YEAR(KG1),MONTH(KG1)+1,1))&lt;=Settings!$B$3,DATE(YEAR(KG1),MONTH(KG1)+1,1),0)</f>
        <v>42826</v>
      </c>
      <c r="KI1" s="29">
        <f ca="1">IF(YEAR(DATE(YEAR(KH1),MONTH(KH1)+1,1))&lt;=Settings!$B$3,DATE(YEAR(KH1),MONTH(KH1)+1,1),0)</f>
        <v>42856</v>
      </c>
      <c r="KJ1" s="29">
        <f ca="1">IF(YEAR(DATE(YEAR(KI1),MONTH(KI1)+1,1))&lt;=Settings!$B$3,DATE(YEAR(KI1),MONTH(KI1)+1,1),0)</f>
        <v>42887</v>
      </c>
      <c r="KK1" s="29">
        <f ca="1">IF(YEAR(DATE(YEAR(KJ1),MONTH(KJ1)+1,1))&lt;=Settings!$B$3,DATE(YEAR(KJ1),MONTH(KJ1)+1,1),0)</f>
        <v>42917</v>
      </c>
      <c r="KL1" s="29">
        <f ca="1">IF(YEAR(DATE(YEAR(KK1),MONTH(KK1)+1,1))&lt;=Settings!$B$3,DATE(YEAR(KK1),MONTH(KK1)+1,1),0)</f>
        <v>42948</v>
      </c>
      <c r="KM1" s="29">
        <f ca="1">IF(YEAR(DATE(YEAR(KL1),MONTH(KL1)+1,1))&lt;=Settings!$B$3,DATE(YEAR(KL1),MONTH(KL1)+1,1),0)</f>
        <v>42979</v>
      </c>
      <c r="KN1" s="29">
        <f ca="1">IF(YEAR(DATE(YEAR(KM1),MONTH(KM1)+1,1))&lt;=Settings!$B$3,DATE(YEAR(KM1),MONTH(KM1)+1,1),0)</f>
        <v>43009</v>
      </c>
      <c r="KO1" s="29">
        <f ca="1">IF(YEAR(DATE(YEAR(KN1),MONTH(KN1)+1,1))&lt;=Settings!$B$3,DATE(YEAR(KN1),MONTH(KN1)+1,1),0)</f>
        <v>43040</v>
      </c>
      <c r="KP1" s="29">
        <f ca="1">IF(YEAR(DATE(YEAR(KO1),MONTH(KO1)+1,1))&lt;=Settings!$B$3,DATE(YEAR(KO1),MONTH(KO1)+1,1),0)</f>
        <v>43070</v>
      </c>
      <c r="KQ1" s="29">
        <f ca="1">IF(YEAR(DATE(YEAR(KP1),MONTH(KP1)+1,1))&lt;=Settings!$B$3,DATE(YEAR(KP1),MONTH(KP1)+1,1),0)</f>
        <v>43101</v>
      </c>
      <c r="KR1" s="29">
        <f ca="1">IF(YEAR(DATE(YEAR(KQ1),MONTH(KQ1)+1,1))&lt;=Settings!$B$3,DATE(YEAR(KQ1),MONTH(KQ1)+1,1),0)</f>
        <v>43132</v>
      </c>
      <c r="KS1" s="29">
        <f ca="1">IF(YEAR(DATE(YEAR(KR1),MONTH(KR1)+1,1))&lt;=Settings!$B$3,DATE(YEAR(KR1),MONTH(KR1)+1,1),0)</f>
        <v>43160</v>
      </c>
      <c r="KT1" s="29">
        <f ca="1">IF(YEAR(DATE(YEAR(KS1),MONTH(KS1)+1,1))&lt;=Settings!$B$3,DATE(YEAR(KS1),MONTH(KS1)+1,1),0)</f>
        <v>43191</v>
      </c>
      <c r="KU1" s="29">
        <f ca="1">IF(YEAR(DATE(YEAR(KT1),MONTH(KT1)+1,1))&lt;=Settings!$B$3,DATE(YEAR(KT1),MONTH(KT1)+1,1),0)</f>
        <v>43221</v>
      </c>
      <c r="KV1" s="29">
        <f ca="1">IF(YEAR(DATE(YEAR(KU1),MONTH(KU1)+1,1))&lt;=Settings!$B$3,DATE(YEAR(KU1),MONTH(KU1)+1,1),0)</f>
        <v>43252</v>
      </c>
      <c r="KW1" s="29">
        <f ca="1">IF(YEAR(DATE(YEAR(KV1),MONTH(KV1)+1,1))&lt;=Settings!$B$3,DATE(YEAR(KV1),MONTH(KV1)+1,1),0)</f>
        <v>43282</v>
      </c>
      <c r="KX1" s="29">
        <f ca="1">IF(YEAR(DATE(YEAR(KW1),MONTH(KW1)+1,1))&lt;=Settings!$B$3,DATE(YEAR(KW1),MONTH(KW1)+1,1),0)</f>
        <v>43313</v>
      </c>
      <c r="KY1" s="29">
        <f ca="1">IF(YEAR(DATE(YEAR(KX1),MONTH(KX1)+1,1))&lt;=Settings!$B$3,DATE(YEAR(KX1),MONTH(KX1)+1,1),0)</f>
        <v>43344</v>
      </c>
      <c r="KZ1" s="29">
        <f ca="1">IF(YEAR(DATE(YEAR(KY1),MONTH(KY1)+1,1))&lt;=Settings!$B$3,DATE(YEAR(KY1),MONTH(KY1)+1,1),0)</f>
        <v>43374</v>
      </c>
      <c r="LA1" s="29">
        <f ca="1">IF(YEAR(DATE(YEAR(KZ1),MONTH(KZ1)+1,1))&lt;=Settings!$B$3,DATE(YEAR(KZ1),MONTH(KZ1)+1,1),0)</f>
        <v>43405</v>
      </c>
      <c r="LB1" s="29">
        <f ca="1">IF(YEAR(DATE(YEAR(LA1),MONTH(LA1)+1,1))&lt;=Settings!$B$3,DATE(YEAR(LA1),MONTH(LA1)+1,1),0)</f>
        <v>43435</v>
      </c>
      <c r="LC1" s="29">
        <f ca="1">IF(YEAR(DATE(YEAR(LB1),MONTH(LB1)+1,1))&lt;=Settings!$B$3,DATE(YEAR(LB1),MONTH(LB1)+1,1),0)</f>
        <v>43466</v>
      </c>
      <c r="LD1" s="29">
        <f ca="1">IF(YEAR(DATE(YEAR(LC1),MONTH(LC1)+1,1))&lt;=Settings!$B$3,DATE(YEAR(LC1),MONTH(LC1)+1,1),0)</f>
        <v>43497</v>
      </c>
      <c r="LE1" s="29">
        <f ca="1">IF(YEAR(DATE(YEAR(LD1),MONTH(LD1)+1,1))&lt;=Settings!$B$3,DATE(YEAR(LD1),MONTH(LD1)+1,1),0)</f>
        <v>43525</v>
      </c>
      <c r="LF1" s="29">
        <f ca="1">IF(YEAR(DATE(YEAR(LE1),MONTH(LE1)+1,1))&lt;=Settings!$B$3,DATE(YEAR(LE1),MONTH(LE1)+1,1),0)</f>
        <v>43556</v>
      </c>
      <c r="LG1" s="29">
        <f ca="1">IF(YEAR(DATE(YEAR(LF1),MONTH(LF1)+1,1))&lt;=Settings!$B$3,DATE(YEAR(LF1),MONTH(LF1)+1,1),0)</f>
        <v>43586</v>
      </c>
      <c r="LH1" s="29">
        <f ca="1">IF(YEAR(DATE(YEAR(LG1),MONTH(LG1)+1,1))&lt;=Settings!$B$3,DATE(YEAR(LG1),MONTH(LG1)+1,1),0)</f>
        <v>43617</v>
      </c>
      <c r="LI1" s="29">
        <f ca="1">IF(YEAR(DATE(YEAR(LH1),MONTH(LH1)+1,1))&lt;=Settings!$B$3,DATE(YEAR(LH1),MONTH(LH1)+1,1),0)</f>
        <v>43647</v>
      </c>
      <c r="LJ1" s="29">
        <f ca="1">IF(YEAR(DATE(YEAR(LI1),MONTH(LI1)+1,1))&lt;=Settings!$B$3,DATE(YEAR(LI1),MONTH(LI1)+1,1),0)</f>
        <v>43678</v>
      </c>
      <c r="LK1" s="29">
        <f ca="1">IF(YEAR(DATE(YEAR(LJ1),MONTH(LJ1)+1,1))&lt;=Settings!$B$3,DATE(YEAR(LJ1),MONTH(LJ1)+1,1),0)</f>
        <v>43709</v>
      </c>
      <c r="LL1" s="29">
        <f ca="1">IF(YEAR(DATE(YEAR(LK1),MONTH(LK1)+1,1))&lt;=Settings!$B$3,DATE(YEAR(LK1),MONTH(LK1)+1,1),0)</f>
        <v>43739</v>
      </c>
      <c r="LM1" s="29">
        <f ca="1">IF(YEAR(DATE(YEAR(LL1),MONTH(LL1)+1,1))&lt;=Settings!$B$3,DATE(YEAR(LL1),MONTH(LL1)+1,1),0)</f>
        <v>43770</v>
      </c>
      <c r="LN1" s="29">
        <f ca="1">IF(YEAR(DATE(YEAR(LM1),MONTH(LM1)+1,1))&lt;=Settings!$B$3,DATE(YEAR(LM1),MONTH(LM1)+1,1),0)</f>
        <v>43800</v>
      </c>
      <c r="LO1" s="29">
        <f ca="1">IF(YEAR(DATE(YEAR(LN1),MONTH(LN1)+1,1))&lt;=Settings!$B$3,DATE(YEAR(LN1),MONTH(LN1)+1,1),0)</f>
        <v>43831</v>
      </c>
      <c r="LP1" s="29">
        <f ca="1">IF(YEAR(DATE(YEAR(LO1),MONTH(LO1)+1,1))&lt;=Settings!$B$3,DATE(YEAR(LO1),MONTH(LO1)+1,1),0)</f>
        <v>43862</v>
      </c>
      <c r="LQ1" s="29">
        <f ca="1">IF(YEAR(DATE(YEAR(LP1),MONTH(LP1)+1,1))&lt;=Settings!$B$3,DATE(YEAR(LP1),MONTH(LP1)+1,1),0)</f>
        <v>43891</v>
      </c>
      <c r="LR1" s="29">
        <f ca="1">IF(YEAR(DATE(YEAR(LQ1),MONTH(LQ1)+1,1))&lt;=Settings!$B$3,DATE(YEAR(LQ1),MONTH(LQ1)+1,1),0)</f>
        <v>43922</v>
      </c>
      <c r="LS1" s="29">
        <f ca="1">IF(YEAR(DATE(YEAR(LR1),MONTH(LR1)+1,1))&lt;=Settings!$B$3,DATE(YEAR(LR1),MONTH(LR1)+1,1),0)</f>
        <v>43952</v>
      </c>
      <c r="LT1" s="29">
        <f ca="1">IF(YEAR(DATE(YEAR(LS1),MONTH(LS1)+1,1))&lt;=Settings!$B$3,DATE(YEAR(LS1),MONTH(LS1)+1,1),0)</f>
        <v>43983</v>
      </c>
      <c r="LU1" s="29">
        <f ca="1">IF(YEAR(DATE(YEAR(LT1),MONTH(LT1)+1,1))&lt;=Settings!$B$3,DATE(YEAR(LT1),MONTH(LT1)+1,1),0)</f>
        <v>44013</v>
      </c>
      <c r="LV1" s="29">
        <f ca="1">IF(YEAR(DATE(YEAR(LU1),MONTH(LU1)+1,1))&lt;=Settings!$B$3,DATE(YEAR(LU1),MONTH(LU1)+1,1),0)</f>
        <v>44044</v>
      </c>
      <c r="LW1" s="29">
        <f ca="1">IF(YEAR(DATE(YEAR(LV1),MONTH(LV1)+1,1))&lt;=Settings!$B$3,DATE(YEAR(LV1),MONTH(LV1)+1,1),0)</f>
        <v>44075</v>
      </c>
      <c r="LX1" s="29">
        <f ca="1">IF(YEAR(DATE(YEAR(LW1),MONTH(LW1)+1,1))&lt;=Settings!$B$3,DATE(YEAR(LW1),MONTH(LW1)+1,1),0)</f>
        <v>44105</v>
      </c>
      <c r="LY1" s="29">
        <f ca="1">IF(YEAR(DATE(YEAR(LX1),MONTH(LX1)+1,1))&lt;=Settings!$B$3,DATE(YEAR(LX1),MONTH(LX1)+1,1),0)</f>
        <v>44136</v>
      </c>
      <c r="LZ1" s="29">
        <f ca="1">IF(YEAR(DATE(YEAR(LY1),MONTH(LY1)+1,1))&lt;=Settings!$B$3,DATE(YEAR(LY1),MONTH(LY1)+1,1),0)</f>
        <v>44166</v>
      </c>
      <c r="MA1" s="29">
        <f ca="1">IF(YEAR(DATE(YEAR(LZ1),MONTH(LZ1)+1,1))&lt;=Settings!$B$3,DATE(YEAR(LZ1),MONTH(LZ1)+1,1),0)</f>
        <v>44197</v>
      </c>
      <c r="MB1" s="29">
        <f ca="1">IF(YEAR(DATE(YEAR(MA1),MONTH(MA1)+1,1))&lt;=Settings!$B$3,DATE(YEAR(MA1),MONTH(MA1)+1,1),0)</f>
        <v>44228</v>
      </c>
      <c r="MC1" s="29">
        <f ca="1">IF(YEAR(DATE(YEAR(MB1),MONTH(MB1)+1,1))&lt;=Settings!$B$3,DATE(YEAR(MB1),MONTH(MB1)+1,1),0)</f>
        <v>44256</v>
      </c>
      <c r="MD1" s="29">
        <f ca="1">IF(YEAR(DATE(YEAR(MC1),MONTH(MC1)+1,1))&lt;=Settings!$B$3,DATE(YEAR(MC1),MONTH(MC1)+1,1),0)</f>
        <v>44287</v>
      </c>
      <c r="ME1" s="29">
        <f ca="1">IF(YEAR(DATE(YEAR(MD1),MONTH(MD1)+1,1))&lt;=Settings!$B$3,DATE(YEAR(MD1),MONTH(MD1)+1,1),0)</f>
        <v>44317</v>
      </c>
      <c r="MF1" s="29">
        <f ca="1">IF(YEAR(DATE(YEAR(ME1),MONTH(ME1)+1,1))&lt;=Settings!$B$3,DATE(YEAR(ME1),MONTH(ME1)+1,1),0)</f>
        <v>44348</v>
      </c>
      <c r="MG1" s="29">
        <f ca="1">IF(YEAR(DATE(YEAR(MF1),MONTH(MF1)+1,1))&lt;=Settings!$B$3,DATE(YEAR(MF1),MONTH(MF1)+1,1),0)</f>
        <v>44378</v>
      </c>
      <c r="MH1" s="29">
        <f ca="1">IF(YEAR(DATE(YEAR(MG1),MONTH(MG1)+1,1))&lt;=Settings!$B$3,DATE(YEAR(MG1),MONTH(MG1)+1,1),0)</f>
        <v>44409</v>
      </c>
      <c r="MI1" s="29">
        <f ca="1">IF(YEAR(DATE(YEAR(MH1),MONTH(MH1)+1,1))&lt;=Settings!$B$3,DATE(YEAR(MH1),MONTH(MH1)+1,1),0)</f>
        <v>44440</v>
      </c>
      <c r="MJ1" s="29">
        <f ca="1">IF(YEAR(DATE(YEAR(MI1),MONTH(MI1)+1,1))&lt;=Settings!$B$3,DATE(YEAR(MI1),MONTH(MI1)+1,1),0)</f>
        <v>44470</v>
      </c>
      <c r="MK1" s="29">
        <f ca="1">IF(YEAR(DATE(YEAR(MJ1),MONTH(MJ1)+1,1))&lt;=Settings!$B$3,DATE(YEAR(MJ1),MONTH(MJ1)+1,1),0)</f>
        <v>44501</v>
      </c>
      <c r="ML1" s="29">
        <f ca="1">IF(YEAR(DATE(YEAR(MK1),MONTH(MK1)+1,1))&lt;=Settings!$B$3,DATE(YEAR(MK1),MONTH(MK1)+1,1),0)</f>
        <v>44531</v>
      </c>
      <c r="MM1" s="29">
        <f ca="1">IF(YEAR(DATE(YEAR(ML1),MONTH(ML1)+1,1))&lt;=Settings!$B$3,DATE(YEAR(ML1),MONTH(ML1)+1,1),0)</f>
        <v>44562</v>
      </c>
      <c r="MN1" s="29">
        <f ca="1">IF(YEAR(DATE(YEAR(MM1),MONTH(MM1)+1,1))&lt;=Settings!$B$3,DATE(YEAR(MM1),MONTH(MM1)+1,1),0)</f>
        <v>44593</v>
      </c>
      <c r="MO1" s="29">
        <f ca="1">IF(YEAR(DATE(YEAR(MN1),MONTH(MN1)+1,1))&lt;=Settings!$B$3,DATE(YEAR(MN1),MONTH(MN1)+1,1),0)</f>
        <v>44621</v>
      </c>
      <c r="MP1" s="29">
        <f ca="1">IF(YEAR(DATE(YEAR(MO1),MONTH(MO1)+1,1))&lt;=Settings!$B$3,DATE(YEAR(MO1),MONTH(MO1)+1,1),0)</f>
        <v>44652</v>
      </c>
      <c r="MQ1" s="29">
        <f ca="1">IF(YEAR(DATE(YEAR(MP1),MONTH(MP1)+1,1))&lt;=Settings!$B$3,DATE(YEAR(MP1),MONTH(MP1)+1,1),0)</f>
        <v>44682</v>
      </c>
      <c r="MR1" s="29">
        <f ca="1">IF(YEAR(DATE(YEAR(MQ1),MONTH(MQ1)+1,1))&lt;=Settings!$B$3,DATE(YEAR(MQ1),MONTH(MQ1)+1,1),0)</f>
        <v>44713</v>
      </c>
      <c r="MS1" s="29">
        <f ca="1">IF(YEAR(DATE(YEAR(MR1),MONTH(MR1)+1,1))&lt;=Settings!$B$3,DATE(YEAR(MR1),MONTH(MR1)+1,1),0)</f>
        <v>44743</v>
      </c>
      <c r="MT1" s="29">
        <f ca="1">IF(YEAR(DATE(YEAR(MS1),MONTH(MS1)+1,1))&lt;=Settings!$B$3,DATE(YEAR(MS1),MONTH(MS1)+1,1),0)</f>
        <v>44774</v>
      </c>
      <c r="MU1" s="29">
        <f ca="1">IF(YEAR(DATE(YEAR(MT1),MONTH(MT1)+1,1))&lt;=Settings!$B$3,DATE(YEAR(MT1),MONTH(MT1)+1,1),0)</f>
        <v>44805</v>
      </c>
      <c r="MV1" s="29">
        <f ca="1">IF(YEAR(DATE(YEAR(MU1),MONTH(MU1)+1,1))&lt;=Settings!$B$3,DATE(YEAR(MU1),MONTH(MU1)+1,1),0)</f>
        <v>44835</v>
      </c>
      <c r="MW1" s="29">
        <f ca="1">IF(YEAR(DATE(YEAR(MV1),MONTH(MV1)+1,1))&lt;=Settings!$B$3,DATE(YEAR(MV1),MONTH(MV1)+1,1),0)</f>
        <v>44866</v>
      </c>
      <c r="MX1" s="29">
        <f ca="1">IF(YEAR(DATE(YEAR(MW1),MONTH(MW1)+1,1))&lt;=Settings!$B$3,DATE(YEAR(MW1),MONTH(MW1)+1,1),0)</f>
        <v>44896</v>
      </c>
      <c r="MY1" s="29">
        <f ca="1">IF(YEAR(DATE(YEAR(MX1),MONTH(MX1)+1,1))&lt;=Settings!$B$3,DATE(YEAR(MX1),MONTH(MX1)+1,1),0)</f>
        <v>44927</v>
      </c>
      <c r="MZ1" s="29">
        <f ca="1">IF(YEAR(DATE(YEAR(MY1),MONTH(MY1)+1,1))&lt;=Settings!$B$3,DATE(YEAR(MY1),MONTH(MY1)+1,1),0)</f>
        <v>44958</v>
      </c>
      <c r="NA1" s="29">
        <f ca="1">IF(YEAR(DATE(YEAR(MZ1),MONTH(MZ1)+1,1))&lt;=Settings!$B$3,DATE(YEAR(MZ1),MONTH(MZ1)+1,1),0)</f>
        <v>44986</v>
      </c>
      <c r="NB1" s="29">
        <f ca="1">IF(YEAR(DATE(YEAR(NA1),MONTH(NA1)+1,1))&lt;=Settings!$B$3,DATE(YEAR(NA1),MONTH(NA1)+1,1),0)</f>
        <v>45017</v>
      </c>
      <c r="NC1" s="29">
        <f ca="1">IF(YEAR(DATE(YEAR(NB1),MONTH(NB1)+1,1))&lt;=Settings!$B$3,DATE(YEAR(NB1),MONTH(NB1)+1,1),0)</f>
        <v>45047</v>
      </c>
      <c r="ND1" s="29">
        <f ca="1">IF(YEAR(DATE(YEAR(NC1),MONTH(NC1)+1,1))&lt;=Settings!$B$3,DATE(YEAR(NC1),MONTH(NC1)+1,1),0)</f>
        <v>45078</v>
      </c>
      <c r="NE1" s="29">
        <f ca="1">IF(YEAR(DATE(YEAR(ND1),MONTH(ND1)+1,1))&lt;=Settings!$B$3,DATE(YEAR(ND1),MONTH(ND1)+1,1),0)</f>
        <v>45108</v>
      </c>
      <c r="NF1" s="29">
        <f ca="1">IF(YEAR(DATE(YEAR(NE1),MONTH(NE1)+1,1))&lt;=Settings!$B$3,DATE(YEAR(NE1),MONTH(NE1)+1,1),0)</f>
        <v>45139</v>
      </c>
      <c r="NG1" s="29">
        <f ca="1">IF(YEAR(DATE(YEAR(NF1),MONTH(NF1)+1,1))&lt;=Settings!$B$3,DATE(YEAR(NF1),MONTH(NF1)+1,1),0)</f>
        <v>45170</v>
      </c>
      <c r="NH1" s="29">
        <f ca="1">IF(YEAR(DATE(YEAR(NG1),MONTH(NG1)+1,1))&lt;=Settings!$B$3,DATE(YEAR(NG1),MONTH(NG1)+1,1),0)</f>
        <v>45200</v>
      </c>
      <c r="NI1" s="29">
        <f ca="1">IF(YEAR(DATE(YEAR(NH1),MONTH(NH1)+1,1))&lt;=Settings!$B$3,DATE(YEAR(NH1),MONTH(NH1)+1,1),0)</f>
        <v>45231</v>
      </c>
      <c r="NJ1" s="29">
        <f ca="1">IF(YEAR(DATE(YEAR(NI1),MONTH(NI1)+1,1))&lt;=Settings!$B$3,DATE(YEAR(NI1),MONTH(NI1)+1,1),0)</f>
        <v>45261</v>
      </c>
      <c r="NK1" s="29">
        <f ca="1">IF(YEAR(DATE(YEAR(NJ1),MONTH(NJ1)+1,1))&lt;=Settings!$B$3,DATE(YEAR(NJ1),MONTH(NJ1)+1,1),0)</f>
        <v>45292</v>
      </c>
      <c r="NL1" s="29">
        <f ca="1">IF(YEAR(DATE(YEAR(NK1),MONTH(NK1)+1,1))&lt;=Settings!$B$3,DATE(YEAR(NK1),MONTH(NK1)+1,1),0)</f>
        <v>45323</v>
      </c>
      <c r="NM1" s="29">
        <f ca="1">IF(YEAR(DATE(YEAR(NL1),MONTH(NL1)+1,1))&lt;=Settings!$B$3,DATE(YEAR(NL1),MONTH(NL1)+1,1),0)</f>
        <v>45352</v>
      </c>
      <c r="NN1" s="29">
        <f ca="1">IF(YEAR(DATE(YEAR(NM1),MONTH(NM1)+1,1))&lt;=Settings!$B$3,DATE(YEAR(NM1),MONTH(NM1)+1,1),0)</f>
        <v>45383</v>
      </c>
      <c r="NO1" s="29">
        <f ca="1">IF(YEAR(DATE(YEAR(NN1),MONTH(NN1)+1,1))&lt;=Settings!$B$3,DATE(YEAR(NN1),MONTH(NN1)+1,1),0)</f>
        <v>45413</v>
      </c>
      <c r="NP1" s="29">
        <f ca="1">IF(YEAR(DATE(YEAR(NO1),MONTH(NO1)+1,1))&lt;=Settings!$B$3,DATE(YEAR(NO1),MONTH(NO1)+1,1),0)</f>
        <v>45444</v>
      </c>
      <c r="NQ1" s="29">
        <f ca="1">IF(YEAR(DATE(YEAR(NP1),MONTH(NP1)+1,1))&lt;=Settings!$B$3,DATE(YEAR(NP1),MONTH(NP1)+1,1),0)</f>
        <v>45474</v>
      </c>
      <c r="NR1" s="29">
        <f ca="1">IF(YEAR(DATE(YEAR(NQ1),MONTH(NQ1)+1,1))&lt;=Settings!$B$3,DATE(YEAR(NQ1),MONTH(NQ1)+1,1),0)</f>
        <v>45505</v>
      </c>
      <c r="NS1" s="29">
        <f ca="1">IF(YEAR(DATE(YEAR(NR1),MONTH(NR1)+1,1))&lt;=Settings!$B$3,DATE(YEAR(NR1),MONTH(NR1)+1,1),0)</f>
        <v>45536</v>
      </c>
      <c r="NT1" s="29">
        <f ca="1">IF(YEAR(DATE(YEAR(NS1),MONTH(NS1)+1,1))&lt;=Settings!$B$3,DATE(YEAR(NS1),MONTH(NS1)+1,1),0)</f>
        <v>45566</v>
      </c>
      <c r="NU1" s="29">
        <f ca="1">IF(YEAR(DATE(YEAR(NT1),MONTH(NT1)+1,1))&lt;=Settings!$B$3,DATE(YEAR(NT1),MONTH(NT1)+1,1),0)</f>
        <v>45597</v>
      </c>
      <c r="NV1" s="29">
        <f ca="1">IF(YEAR(DATE(YEAR(NU1),MONTH(NU1)+1,1))&lt;=Settings!$B$3,DATE(YEAR(NU1),MONTH(NU1)+1,1),0)</f>
        <v>45627</v>
      </c>
      <c r="NW1" s="29">
        <f ca="1">IF(YEAR(DATE(YEAR(NV1),MONTH(NV1)+1,1))&lt;=Settings!$B$3,DATE(YEAR(NV1),MONTH(NV1)+1,1),0)</f>
        <v>45658</v>
      </c>
      <c r="NX1" s="29">
        <f ca="1">IF(YEAR(DATE(YEAR(NW1),MONTH(NW1)+1,1))&lt;=Settings!$B$3,DATE(YEAR(NW1),MONTH(NW1)+1,1),0)</f>
        <v>45689</v>
      </c>
      <c r="NY1" s="29">
        <f ca="1">IF(YEAR(DATE(YEAR(NX1),MONTH(NX1)+1,1))&lt;=Settings!$B$3,DATE(YEAR(NX1),MONTH(NX1)+1,1),0)</f>
        <v>45717</v>
      </c>
      <c r="NZ1" s="29">
        <f ca="1">IF(YEAR(DATE(YEAR(NY1),MONTH(NY1)+1,1))&lt;=Settings!$B$3,DATE(YEAR(NY1),MONTH(NY1)+1,1),0)</f>
        <v>45748</v>
      </c>
      <c r="OA1" s="29">
        <f ca="1">IF(YEAR(DATE(YEAR(NZ1),MONTH(NZ1)+1,1))&lt;=Settings!$B$3,DATE(YEAR(NZ1),MONTH(NZ1)+1,1),0)</f>
        <v>45778</v>
      </c>
      <c r="OB1" s="29">
        <f ca="1">IF(YEAR(DATE(YEAR(OA1),MONTH(OA1)+1,1))&lt;=Settings!$B$3,DATE(YEAR(OA1),MONTH(OA1)+1,1),0)</f>
        <v>45809</v>
      </c>
      <c r="OC1" s="29">
        <f ca="1">IF(YEAR(DATE(YEAR(OB1),MONTH(OB1)+1,1))&lt;=Settings!$B$3,DATE(YEAR(OB1),MONTH(OB1)+1,1),0)</f>
        <v>45839</v>
      </c>
      <c r="OD1" s="29">
        <f ca="1">IF(YEAR(DATE(YEAR(OC1),MONTH(OC1)+1,1))&lt;=Settings!$B$3,DATE(YEAR(OC1),MONTH(OC1)+1,1),0)</f>
        <v>45870</v>
      </c>
      <c r="OE1" s="29">
        <f ca="1">IF(YEAR(DATE(YEAR(OD1),MONTH(OD1)+1,1))&lt;=Settings!$B$3,DATE(YEAR(OD1),MONTH(OD1)+1,1),0)</f>
        <v>45901</v>
      </c>
      <c r="OF1" s="29">
        <f ca="1">IF(YEAR(DATE(YEAR(OE1),MONTH(OE1)+1,1))&lt;=Settings!$B$3,DATE(YEAR(OE1),MONTH(OE1)+1,1),0)</f>
        <v>45931</v>
      </c>
      <c r="OG1" s="29">
        <f ca="1">IF(YEAR(DATE(YEAR(OF1),MONTH(OF1)+1,1))&lt;=Settings!$B$3,DATE(YEAR(OF1),MONTH(OF1)+1,1),0)</f>
        <v>45962</v>
      </c>
      <c r="OH1" s="29">
        <f ca="1">IF(YEAR(DATE(YEAR(OG1),MONTH(OG1)+1,1))&lt;=Settings!$B$3,DATE(YEAR(OG1),MONTH(OG1)+1,1),0)</f>
        <v>45992</v>
      </c>
      <c r="OI1" s="29">
        <f ca="1">IF(YEAR(DATE(YEAR(OH1),MONTH(OH1)+1,1))&lt;=Settings!$B$3,DATE(YEAR(OH1),MONTH(OH1)+1,1),0)</f>
        <v>46023</v>
      </c>
      <c r="OJ1" s="29">
        <f ca="1">IF(YEAR(DATE(YEAR(OI1),MONTH(OI1)+1,1))&lt;=Settings!$B$3,DATE(YEAR(OI1),MONTH(OI1)+1,1),0)</f>
        <v>46054</v>
      </c>
      <c r="OK1" s="29">
        <f ca="1">IF(YEAR(DATE(YEAR(OJ1),MONTH(OJ1)+1,1))&lt;=Settings!$B$3,DATE(YEAR(OJ1),MONTH(OJ1)+1,1),0)</f>
        <v>46082</v>
      </c>
      <c r="OL1" s="29">
        <f ca="1">IF(YEAR(DATE(YEAR(OK1),MONTH(OK1)+1,1))&lt;=Settings!$B$3,DATE(YEAR(OK1),MONTH(OK1)+1,1),0)</f>
        <v>46113</v>
      </c>
      <c r="OM1" s="29">
        <f ca="1">IF(YEAR(DATE(YEAR(OL1),MONTH(OL1)+1,1))&lt;=Settings!$B$3,DATE(YEAR(OL1),MONTH(OL1)+1,1),0)</f>
        <v>46143</v>
      </c>
      <c r="ON1" s="29">
        <f ca="1">IF(YEAR(DATE(YEAR(OM1),MONTH(OM1)+1,1))&lt;=Settings!$B$3,DATE(YEAR(OM1),MONTH(OM1)+1,1),0)</f>
        <v>46174</v>
      </c>
      <c r="OO1" s="29">
        <f ca="1">IF(YEAR(DATE(YEAR(ON1),MONTH(ON1)+1,1))&lt;=Settings!$B$3,DATE(YEAR(ON1),MONTH(ON1)+1,1),0)</f>
        <v>46204</v>
      </c>
      <c r="OP1" s="29">
        <f ca="1">IF(YEAR(DATE(YEAR(OO1),MONTH(OO1)+1,1))&lt;=Settings!$B$3,DATE(YEAR(OO1),MONTH(OO1)+1,1),0)</f>
        <v>46235</v>
      </c>
      <c r="OQ1" s="29">
        <f ca="1">IF(YEAR(DATE(YEAR(OP1),MONTH(OP1)+1,1))&lt;=Settings!$B$3,DATE(YEAR(OP1),MONTH(OP1)+1,1),0)</f>
        <v>46266</v>
      </c>
      <c r="OR1" s="29">
        <f ca="1">IF(YEAR(DATE(YEAR(OQ1),MONTH(OQ1)+1,1))&lt;=Settings!$B$3,DATE(YEAR(OQ1),MONTH(OQ1)+1,1),0)</f>
        <v>46296</v>
      </c>
      <c r="OS1" s="29">
        <f ca="1">IF(YEAR(DATE(YEAR(OR1),MONTH(OR1)+1,1))&lt;=Settings!$B$3,DATE(YEAR(OR1),MONTH(OR1)+1,1),0)</f>
        <v>46327</v>
      </c>
      <c r="OT1" s="29">
        <f ca="1">IF(YEAR(DATE(YEAR(OS1),MONTH(OS1)+1,1))&lt;=Settings!$B$3,DATE(YEAR(OS1),MONTH(OS1)+1,1),0)</f>
        <v>46357</v>
      </c>
    </row>
    <row r="2" spans="1:410" x14ac:dyDescent="0.35">
      <c r="A2" t="str">
        <f>InfoQ!A2</f>
        <v>RGDP_level</v>
      </c>
      <c r="B2" s="34">
        <f>InfoQ!G2</f>
        <v>0</v>
      </c>
      <c r="C2" s="30"/>
      <c r="D2" s="30"/>
      <c r="E2" s="30">
        <f ca="1">IF(ISNUMBER(InfoQ!$H2),DATE(YEAR(E$1),MONTH(E$1)+InfoQ!$H2,InfoQ!$I2),0)</f>
        <v>34094</v>
      </c>
      <c r="F2" s="30"/>
      <c r="G2" s="30"/>
      <c r="H2" s="30">
        <f ca="1">IF(ISNUMBER(InfoQ!$H2),DATE(YEAR(H$1),MONTH(H$1)+InfoQ!$H2,InfoQ!$I2),0)</f>
        <v>34186</v>
      </c>
      <c r="I2" s="30"/>
      <c r="J2" s="30"/>
      <c r="K2" s="30">
        <f ca="1">IF(ISNUMBER(InfoQ!$H2),DATE(YEAR(K$1),MONTH(K$1)+InfoQ!$H2,InfoQ!$I2),0)</f>
        <v>34278</v>
      </c>
      <c r="L2" s="30"/>
      <c r="M2" s="30"/>
      <c r="N2" s="30">
        <f ca="1">IF(ISNUMBER(InfoQ!$H2),DATE(YEAR(N$1),MONTH(N$1)+InfoQ!$H2,InfoQ!$I2),0)</f>
        <v>34370</v>
      </c>
      <c r="O2" s="30"/>
      <c r="P2" s="30"/>
      <c r="Q2" s="30">
        <f ca="1">IF(ISNUMBER(InfoQ!$H2),DATE(YEAR(Q$1),MONTH(Q$1)+InfoQ!$H2,InfoQ!$I2),0)</f>
        <v>34459</v>
      </c>
      <c r="R2" s="30"/>
      <c r="S2" s="30"/>
      <c r="T2" s="30">
        <f ca="1">IF(ISNUMBER(InfoQ!$H2),DATE(YEAR(T$1),MONTH(T$1)+InfoQ!$H2,InfoQ!$I2),0)</f>
        <v>34551</v>
      </c>
      <c r="U2" s="30"/>
      <c r="V2" s="30"/>
      <c r="W2" s="30">
        <f ca="1">IF(ISNUMBER(InfoQ!$H2),DATE(YEAR(W$1),MONTH(W$1)+InfoQ!$H2,InfoQ!$I2),0)</f>
        <v>34643</v>
      </c>
      <c r="X2" s="30"/>
      <c r="Y2" s="30"/>
      <c r="Z2" s="30">
        <f ca="1">IF(ISNUMBER(InfoQ!$H2),DATE(YEAR(Z$1),MONTH(Z$1)+InfoQ!$H2,InfoQ!$I2),0)</f>
        <v>34735</v>
      </c>
      <c r="AA2" s="30"/>
      <c r="AB2" s="30"/>
      <c r="AC2" s="30">
        <f ca="1">IF(ISNUMBER(InfoQ!$H2),DATE(YEAR(AC$1),MONTH(AC$1)+InfoQ!$H2,InfoQ!$I2),0)</f>
        <v>34824</v>
      </c>
      <c r="AD2" s="30"/>
      <c r="AE2" s="30"/>
      <c r="AF2" s="30">
        <f ca="1">IF(ISNUMBER(InfoQ!$H2),DATE(YEAR(AF$1),MONTH(AF$1)+InfoQ!$H2,InfoQ!$I2),0)</f>
        <v>34916</v>
      </c>
      <c r="AG2" s="30"/>
      <c r="AH2" s="30"/>
      <c r="AI2" s="30">
        <f ca="1">IF(ISNUMBER(InfoQ!$H2),DATE(YEAR(AI$1),MONTH(AI$1)+InfoQ!$H2,InfoQ!$I2),0)</f>
        <v>35008</v>
      </c>
      <c r="AJ2" s="30"/>
      <c r="AK2" s="30"/>
      <c r="AL2" s="30">
        <f ca="1">IF(ISNUMBER(InfoQ!$H2),DATE(YEAR(AL$1),MONTH(AL$1)+InfoQ!$H2,InfoQ!$I2),0)</f>
        <v>35100</v>
      </c>
      <c r="AM2" s="30"/>
      <c r="AN2" s="30"/>
      <c r="AO2" s="30">
        <f ca="1">IF(ISNUMBER(InfoQ!$H2),DATE(YEAR(AO$1),MONTH(AO$1)+InfoQ!$H2,InfoQ!$I2),0)</f>
        <v>35190</v>
      </c>
      <c r="AP2" s="30"/>
      <c r="AQ2" s="30"/>
      <c r="AR2" s="30">
        <f ca="1">IF(ISNUMBER(InfoQ!$H2),DATE(YEAR(AR$1),MONTH(AR$1)+InfoQ!$H2,InfoQ!$I2),0)</f>
        <v>35282</v>
      </c>
      <c r="AS2" s="30"/>
      <c r="AT2" s="30"/>
      <c r="AU2" s="30">
        <f ca="1">IF(ISNUMBER(InfoQ!$H2),DATE(YEAR(AU$1),MONTH(AU$1)+InfoQ!$H2,InfoQ!$I2),0)</f>
        <v>35374</v>
      </c>
      <c r="AV2" s="30"/>
      <c r="AW2" s="30"/>
      <c r="AX2" s="30">
        <f ca="1">IF(ISNUMBER(InfoQ!$H2),DATE(YEAR(AX$1),MONTH(AX$1)+InfoQ!$H2,InfoQ!$I2),0)</f>
        <v>35466</v>
      </c>
      <c r="AY2" s="30"/>
      <c r="AZ2" s="30"/>
      <c r="BA2" s="30">
        <f ca="1">IF(ISNUMBER(InfoQ!$H2),DATE(YEAR(BA$1),MONTH(BA$1)+InfoQ!$H2,InfoQ!$I2),0)</f>
        <v>35555</v>
      </c>
      <c r="BB2" s="30"/>
      <c r="BC2" s="30"/>
      <c r="BD2" s="30">
        <f ca="1">IF(ISNUMBER(InfoQ!$H2),DATE(YEAR(BD$1),MONTH(BD$1)+InfoQ!$H2,InfoQ!$I2),0)</f>
        <v>35647</v>
      </c>
      <c r="BE2" s="30"/>
      <c r="BF2" s="30"/>
      <c r="BG2" s="30">
        <f ca="1">IF(ISNUMBER(InfoQ!$H2),DATE(YEAR(BG$1),MONTH(BG$1)+InfoQ!$H2,InfoQ!$I2),0)</f>
        <v>35739</v>
      </c>
      <c r="BH2" s="30"/>
      <c r="BI2" s="30"/>
      <c r="BJ2" s="30">
        <f ca="1">IF(ISNUMBER(InfoQ!$H2),DATE(YEAR(BJ$1),MONTH(BJ$1)+InfoQ!$H2,InfoQ!$I2),0)</f>
        <v>35831</v>
      </c>
      <c r="BK2" s="30"/>
      <c r="BL2" s="30"/>
      <c r="BM2" s="30">
        <f ca="1">IF(ISNUMBER(InfoQ!$H2),DATE(YEAR(BM$1),MONTH(BM$1)+InfoQ!$H2,InfoQ!$I2),0)</f>
        <v>35920</v>
      </c>
      <c r="BN2" s="30"/>
      <c r="BO2" s="30"/>
      <c r="BP2" s="30">
        <f ca="1">IF(ISNUMBER(InfoQ!$H2),DATE(YEAR(BP$1),MONTH(BP$1)+InfoQ!$H2,InfoQ!$I2),0)</f>
        <v>36012</v>
      </c>
      <c r="BQ2" s="30"/>
      <c r="BR2" s="30"/>
      <c r="BS2" s="30">
        <f ca="1">IF(ISNUMBER(InfoQ!$H2),DATE(YEAR(BS$1),MONTH(BS$1)+InfoQ!$H2,InfoQ!$I2),0)</f>
        <v>36104</v>
      </c>
      <c r="BT2" s="30"/>
      <c r="BU2" s="30"/>
      <c r="BV2" s="30">
        <f ca="1">IF(ISNUMBER(InfoQ!$H2),DATE(YEAR(BV$1),MONTH(BV$1)+InfoQ!$H2,InfoQ!$I2),0)</f>
        <v>36196</v>
      </c>
      <c r="BW2" s="30"/>
      <c r="BX2" s="30"/>
      <c r="BY2" s="30">
        <f ca="1">IF(ISNUMBER(InfoQ!$H2),DATE(YEAR(BY$1),MONTH(BY$1)+InfoQ!$H2,InfoQ!$I2),0)</f>
        <v>36285</v>
      </c>
      <c r="BZ2" s="30"/>
      <c r="CA2" s="30"/>
      <c r="CB2" s="30">
        <f ca="1">IF(ISNUMBER(InfoQ!$H2),DATE(YEAR(CB$1),MONTH(CB$1)+InfoQ!$H2,InfoQ!$I2),0)</f>
        <v>36377</v>
      </c>
      <c r="CC2" s="30"/>
      <c r="CD2" s="30"/>
      <c r="CE2" s="30">
        <f ca="1">IF(ISNUMBER(InfoQ!$H2),DATE(YEAR(CE$1),MONTH(CE$1)+InfoQ!$H2,InfoQ!$I2),0)</f>
        <v>36469</v>
      </c>
      <c r="CF2" s="30"/>
      <c r="CG2" s="30"/>
      <c r="CH2" s="30">
        <f ca="1">IF(ISNUMBER(InfoQ!$H2),DATE(YEAR(CH$1),MONTH(CH$1)+InfoQ!$H2,InfoQ!$I2),0)</f>
        <v>36561</v>
      </c>
      <c r="CI2" s="30"/>
      <c r="CJ2" s="30"/>
      <c r="CK2" s="30">
        <f ca="1">IF(ISNUMBER(InfoQ!$H2),DATE(YEAR(CK$1),MONTH(CK$1)+InfoQ!$H2,InfoQ!$I2),0)</f>
        <v>36651</v>
      </c>
      <c r="CL2" s="30"/>
      <c r="CM2" s="30"/>
      <c r="CN2" s="30">
        <f ca="1">IF(ISNUMBER(InfoQ!$H2),DATE(YEAR(CN$1),MONTH(CN$1)+InfoQ!$H2,InfoQ!$I2),0)</f>
        <v>36743</v>
      </c>
      <c r="CO2" s="30"/>
      <c r="CP2" s="30"/>
      <c r="CQ2" s="30">
        <f ca="1">IF(ISNUMBER(InfoQ!$H2),DATE(YEAR(CQ$1),MONTH(CQ$1)+InfoQ!$H2,InfoQ!$I2),0)</f>
        <v>36835</v>
      </c>
      <c r="CR2" s="30"/>
      <c r="CS2" s="30"/>
      <c r="CT2" s="30">
        <f ca="1">IF(ISNUMBER(InfoQ!$H2),DATE(YEAR(CT$1),MONTH(CT$1)+InfoQ!$H2,InfoQ!$I2),0)</f>
        <v>36927</v>
      </c>
      <c r="CU2" s="30"/>
      <c r="CV2" s="30"/>
      <c r="CW2" s="30">
        <f ca="1">IF(ISNUMBER(InfoQ!$H2),DATE(YEAR(CW$1),MONTH(CW$1)+InfoQ!$H2,InfoQ!$I2),0)</f>
        <v>37016</v>
      </c>
      <c r="CX2" s="30"/>
      <c r="CY2" s="30"/>
      <c r="CZ2" s="30">
        <f ca="1">IF(ISNUMBER(InfoQ!$H2),DATE(YEAR(CZ$1),MONTH(CZ$1)+InfoQ!$H2,InfoQ!$I2),0)</f>
        <v>37108</v>
      </c>
      <c r="DA2" s="30"/>
      <c r="DB2" s="30"/>
      <c r="DC2" s="30">
        <f ca="1">IF(ISNUMBER(InfoQ!$H2),DATE(YEAR(DC$1),MONTH(DC$1)+InfoQ!$H2,InfoQ!$I2),0)</f>
        <v>37200</v>
      </c>
      <c r="DD2" s="30"/>
      <c r="DE2" s="30"/>
      <c r="DF2" s="30">
        <f ca="1">IF(ISNUMBER(InfoQ!$H2),DATE(YEAR(DF$1),MONTH(DF$1)+InfoQ!$H2,InfoQ!$I2),0)</f>
        <v>37292</v>
      </c>
      <c r="DG2" s="30"/>
      <c r="DH2" s="30"/>
      <c r="DI2" s="30">
        <f ca="1">IF(ISNUMBER(InfoQ!$H2),DATE(YEAR(DI$1),MONTH(DI$1)+InfoQ!$H2,InfoQ!$I2),0)</f>
        <v>37381</v>
      </c>
      <c r="DJ2" s="30"/>
      <c r="DK2" s="30"/>
      <c r="DL2" s="30">
        <f ca="1">IF(ISNUMBER(InfoQ!$H2),DATE(YEAR(DL$1),MONTH(DL$1)+InfoQ!$H2,InfoQ!$I2),0)</f>
        <v>37473</v>
      </c>
      <c r="DM2" s="30"/>
      <c r="DN2" s="30"/>
      <c r="DO2" s="30">
        <f ca="1">IF(ISNUMBER(InfoQ!$H2),DATE(YEAR(DO$1),MONTH(DO$1)+InfoQ!$H2,InfoQ!$I2),0)</f>
        <v>37565</v>
      </c>
      <c r="DP2" s="30"/>
      <c r="DQ2" s="30"/>
      <c r="DR2" s="30">
        <f ca="1">IF(ISNUMBER(InfoQ!$H2),DATE(YEAR(DR$1),MONTH(DR$1)+InfoQ!$H2,InfoQ!$I2),0)</f>
        <v>37657</v>
      </c>
      <c r="DS2" s="30"/>
      <c r="DT2" s="30"/>
      <c r="DU2" s="30">
        <f ca="1">IF(ISNUMBER(InfoQ!$H2),DATE(YEAR(DU$1),MONTH(DU$1)+InfoQ!$H2,InfoQ!$I2),0)</f>
        <v>37746</v>
      </c>
      <c r="DV2" s="30"/>
      <c r="DW2" s="30"/>
      <c r="DX2" s="30">
        <f ca="1">IF(ISNUMBER(InfoQ!$H2),DATE(YEAR(DX$1),MONTH(DX$1)+InfoQ!$H2,InfoQ!$I2),0)</f>
        <v>37838</v>
      </c>
      <c r="DY2" s="30"/>
      <c r="DZ2" s="30"/>
      <c r="EA2" s="30">
        <f ca="1">IF(ISNUMBER(InfoQ!$H2),DATE(YEAR(EA$1),MONTH(EA$1)+InfoQ!$H2,InfoQ!$I2),0)</f>
        <v>37930</v>
      </c>
      <c r="EB2" s="30"/>
      <c r="EC2" s="30"/>
      <c r="ED2" s="30">
        <f ca="1">IF(ISNUMBER(InfoQ!$H2),DATE(YEAR(ED$1),MONTH(ED$1)+InfoQ!$H2,InfoQ!$I2),0)</f>
        <v>38022</v>
      </c>
      <c r="EE2" s="30"/>
      <c r="EF2" s="30"/>
      <c r="EG2" s="30">
        <f ca="1">IF(ISNUMBER(InfoQ!$H2),DATE(YEAR(EG$1),MONTH(EG$1)+InfoQ!$H2,InfoQ!$I2),0)</f>
        <v>38112</v>
      </c>
      <c r="EH2" s="30"/>
      <c r="EI2" s="30"/>
      <c r="EJ2" s="30">
        <f ca="1">IF(ISNUMBER(InfoQ!$H2),DATE(YEAR(EJ$1),MONTH(EJ$1)+InfoQ!$H2,InfoQ!$I2),0)</f>
        <v>38204</v>
      </c>
      <c r="EK2" s="30"/>
      <c r="EL2" s="30"/>
      <c r="EM2" s="30">
        <f ca="1">IF(ISNUMBER(InfoQ!$H2),DATE(YEAR(EM$1),MONTH(EM$1)+InfoQ!$H2,InfoQ!$I2),0)</f>
        <v>38296</v>
      </c>
      <c r="EN2" s="30"/>
      <c r="EO2" s="30"/>
      <c r="EP2" s="30">
        <f ca="1">IF(ISNUMBER(InfoQ!$H2),DATE(YEAR(EP$1),MONTH(EP$1)+InfoQ!$H2,InfoQ!$I2),0)</f>
        <v>38388</v>
      </c>
      <c r="EQ2" s="30"/>
      <c r="ER2" s="30"/>
      <c r="ES2" s="30">
        <f ca="1">IF(ISNUMBER(InfoQ!$H2),DATE(YEAR(ES$1),MONTH(ES$1)+InfoQ!$H2,InfoQ!$I2),0)</f>
        <v>38477</v>
      </c>
      <c r="ET2" s="30"/>
      <c r="EU2" s="30"/>
      <c r="EV2" s="30">
        <f ca="1">IF(ISNUMBER(InfoQ!$H2),DATE(YEAR(EV$1),MONTH(EV$1)+InfoQ!$H2,InfoQ!$I2),0)</f>
        <v>38569</v>
      </c>
      <c r="EW2" s="30"/>
      <c r="EX2" s="30"/>
      <c r="EY2" s="30">
        <f ca="1">IF(ISNUMBER(InfoQ!$H2),DATE(YEAR(EY$1),MONTH(EY$1)+InfoQ!$H2,InfoQ!$I2),0)</f>
        <v>38661</v>
      </c>
      <c r="EZ2" s="30"/>
      <c r="FA2" s="30"/>
      <c r="FB2" s="30">
        <f ca="1">IF(ISNUMBER(InfoQ!$H2),DATE(YEAR(FB$1),MONTH(FB$1)+InfoQ!$H2,InfoQ!$I2),0)</f>
        <v>38753</v>
      </c>
      <c r="FC2" s="30"/>
      <c r="FD2" s="30"/>
      <c r="FE2" s="30">
        <f ca="1">IF(ISNUMBER(InfoQ!$H2),DATE(YEAR(FE$1),MONTH(FE$1)+InfoQ!$H2,InfoQ!$I2),0)</f>
        <v>38842</v>
      </c>
      <c r="FF2" s="30"/>
      <c r="FG2" s="30"/>
      <c r="FH2" s="30">
        <f ca="1">IF(ISNUMBER(InfoQ!$H2),DATE(YEAR(FH$1),MONTH(FH$1)+InfoQ!$H2,InfoQ!$I2),0)</f>
        <v>38934</v>
      </c>
      <c r="FI2" s="30"/>
      <c r="FJ2" s="30"/>
      <c r="FK2" s="30">
        <f ca="1">IF(ISNUMBER(InfoQ!$H2),DATE(YEAR(FK$1),MONTH(FK$1)+InfoQ!$H2,InfoQ!$I2),0)</f>
        <v>39026</v>
      </c>
      <c r="FL2" s="30"/>
      <c r="FM2" s="30"/>
      <c r="FN2" s="30">
        <f ca="1">IF(ISNUMBER(InfoQ!$H2),DATE(YEAR(FN$1),MONTH(FN$1)+InfoQ!$H2,InfoQ!$I2),0)</f>
        <v>39118</v>
      </c>
      <c r="FO2" s="30"/>
      <c r="FP2" s="30"/>
      <c r="FQ2" s="30">
        <f ca="1">IF(ISNUMBER(InfoQ!$H2),DATE(YEAR(FQ$1),MONTH(FQ$1)+InfoQ!$H2,InfoQ!$I2),0)</f>
        <v>39207</v>
      </c>
      <c r="FR2" s="30"/>
      <c r="FS2" s="30"/>
      <c r="FT2" s="30">
        <f ca="1">IF(ISNUMBER(InfoQ!$H2),DATE(YEAR(FT$1),MONTH(FT$1)+InfoQ!$H2,InfoQ!$I2),0)</f>
        <v>39299</v>
      </c>
      <c r="FU2" s="30"/>
      <c r="FV2" s="30"/>
      <c r="FW2" s="30">
        <f ca="1">IF(ISNUMBER(InfoQ!$H2),DATE(YEAR(FW$1),MONTH(FW$1)+InfoQ!$H2,InfoQ!$I2),0)</f>
        <v>39391</v>
      </c>
      <c r="FX2" s="30"/>
      <c r="FY2" s="30"/>
      <c r="FZ2" s="30">
        <f ca="1">IF(ISNUMBER(InfoQ!$H2),DATE(YEAR(FZ$1),MONTH(FZ$1)+InfoQ!$H2,InfoQ!$I2),0)</f>
        <v>39483</v>
      </c>
      <c r="GA2" s="30"/>
      <c r="GB2" s="30"/>
      <c r="GC2" s="30">
        <f ca="1">IF(ISNUMBER(InfoQ!$H2),DATE(YEAR(GC$1),MONTH(GC$1)+InfoQ!$H2,InfoQ!$I2),0)</f>
        <v>39573</v>
      </c>
      <c r="GD2" s="30"/>
      <c r="GE2" s="30"/>
      <c r="GF2" s="30">
        <f ca="1">IF(ISNUMBER(InfoQ!$H2),DATE(YEAR(GF$1),MONTH(GF$1)+InfoQ!$H2,InfoQ!$I2),0)</f>
        <v>39665</v>
      </c>
      <c r="GG2" s="30"/>
      <c r="GH2" s="30"/>
      <c r="GI2" s="30">
        <f ca="1">IF(ISNUMBER(InfoQ!$H2),DATE(YEAR(GI$1),MONTH(GI$1)+InfoQ!$H2,InfoQ!$I2),0)</f>
        <v>39757</v>
      </c>
      <c r="GJ2" s="30"/>
      <c r="GK2" s="30"/>
      <c r="GL2" s="30">
        <f ca="1">IF(ISNUMBER(InfoQ!$H2),DATE(YEAR(GL$1),MONTH(GL$1)+InfoQ!$H2,InfoQ!$I2),0)</f>
        <v>39849</v>
      </c>
      <c r="GM2" s="30"/>
      <c r="GN2" s="30"/>
      <c r="GO2" s="30">
        <f ca="1">IF(ISNUMBER(InfoQ!$H2),DATE(YEAR(GO$1),MONTH(GO$1)+InfoQ!$H2,InfoQ!$I2),0)</f>
        <v>39938</v>
      </c>
      <c r="GP2" s="30"/>
      <c r="GQ2" s="30"/>
      <c r="GR2" s="30">
        <f ca="1">IF(ISNUMBER(InfoQ!$H2),DATE(YEAR(GR$1),MONTH(GR$1)+InfoQ!$H2,InfoQ!$I2),0)</f>
        <v>40030</v>
      </c>
      <c r="GS2" s="30"/>
      <c r="GT2" s="30"/>
      <c r="GU2" s="30">
        <f ca="1">IF(ISNUMBER(InfoQ!$H2),DATE(YEAR(GU$1),MONTH(GU$1)+InfoQ!$H2,InfoQ!$I2),0)</f>
        <v>40122</v>
      </c>
      <c r="GV2" s="30"/>
      <c r="GW2" s="30"/>
      <c r="GX2" s="30">
        <f ca="1">IF(ISNUMBER(InfoQ!$H2),DATE(YEAR(GX$1),MONTH(GX$1)+InfoQ!$H2,InfoQ!$I2),0)</f>
        <v>40214</v>
      </c>
      <c r="GY2" s="30"/>
      <c r="GZ2" s="30"/>
      <c r="HA2" s="30">
        <f ca="1">IF(ISNUMBER(InfoQ!$H2),DATE(YEAR(HA$1),MONTH(HA$1)+InfoQ!$H2,InfoQ!$I2),0)</f>
        <v>40303</v>
      </c>
      <c r="HB2" s="30"/>
      <c r="HC2" s="30"/>
      <c r="HD2" s="30">
        <f ca="1">IF(ISNUMBER(InfoQ!$H2),DATE(YEAR(HD$1),MONTH(HD$1)+InfoQ!$H2,InfoQ!$I2),0)</f>
        <v>40395</v>
      </c>
      <c r="HE2" s="30"/>
      <c r="HF2" s="30"/>
      <c r="HG2" s="30">
        <f ca="1">IF(ISNUMBER(InfoQ!$H2),DATE(YEAR(HG$1),MONTH(HG$1)+InfoQ!$H2,InfoQ!$I2),0)</f>
        <v>40487</v>
      </c>
      <c r="HH2" s="30"/>
      <c r="HI2" s="30"/>
      <c r="HJ2" s="30">
        <f ca="1">IF(ISNUMBER(InfoQ!$H2),DATE(YEAR(HJ$1),MONTH(HJ$1)+InfoQ!$H2,InfoQ!$I2),0)</f>
        <v>40579</v>
      </c>
      <c r="HK2" s="30"/>
      <c r="HL2" s="30"/>
      <c r="HM2" s="30">
        <f ca="1">IF(ISNUMBER(InfoQ!$H2),DATE(YEAR(HM$1),MONTH(HM$1)+InfoQ!$H2,InfoQ!$I2),0)</f>
        <v>40668</v>
      </c>
      <c r="HN2" s="30"/>
      <c r="HO2" s="30"/>
      <c r="HP2" s="30">
        <f ca="1">IF(ISNUMBER(InfoQ!$H2),DATE(YEAR(HP$1),MONTH(HP$1)+InfoQ!$H2,InfoQ!$I2),0)</f>
        <v>40760</v>
      </c>
      <c r="HQ2" s="30"/>
      <c r="HR2" s="30"/>
      <c r="HS2" s="30">
        <f ca="1">IF(ISNUMBER(InfoQ!$H2),DATE(YEAR(HS$1),MONTH(HS$1)+InfoQ!$H2,InfoQ!$I2),0)</f>
        <v>40852</v>
      </c>
      <c r="HT2" s="30"/>
      <c r="HU2" s="30"/>
      <c r="HV2" s="30">
        <f ca="1">IF(ISNUMBER(InfoQ!$H2),DATE(YEAR(HV$1),MONTH(HV$1)+InfoQ!$H2,InfoQ!$I2),0)</f>
        <v>40944</v>
      </c>
      <c r="HW2" s="30"/>
      <c r="HX2" s="30"/>
      <c r="HY2" s="30">
        <f ca="1">IF(ISNUMBER(InfoQ!$H2),DATE(YEAR(HY$1),MONTH(HY$1)+InfoQ!$H2,InfoQ!$I2),0)</f>
        <v>41034</v>
      </c>
      <c r="HZ2" s="30"/>
      <c r="IA2" s="30"/>
      <c r="IB2" s="30">
        <f ca="1">IF(ISNUMBER(InfoQ!$H2),DATE(YEAR(IB$1),MONTH(IB$1)+InfoQ!$H2,InfoQ!$I2),0)</f>
        <v>41126</v>
      </c>
      <c r="IC2" s="30"/>
      <c r="ID2" s="30"/>
      <c r="IE2" s="30">
        <f ca="1">IF(ISNUMBER(InfoQ!$H2),DATE(YEAR(IE$1),MONTH(IE$1)+InfoQ!$H2,InfoQ!$I2),0)</f>
        <v>41218</v>
      </c>
      <c r="IF2" s="30"/>
      <c r="IG2" s="30"/>
      <c r="IH2" s="30">
        <f ca="1">IF(ISNUMBER(InfoQ!$H2),DATE(YEAR(IH$1),MONTH(IH$1)+InfoQ!$H2,InfoQ!$I2),0)</f>
        <v>41310</v>
      </c>
      <c r="II2" s="30"/>
      <c r="IJ2" s="30"/>
      <c r="IK2" s="30">
        <f ca="1">IF(ISNUMBER(InfoQ!$H2),DATE(YEAR(IK$1),MONTH(IK$1)+InfoQ!$H2,InfoQ!$I2),0)</f>
        <v>41399</v>
      </c>
      <c r="IL2" s="30"/>
      <c r="IM2" s="30"/>
      <c r="IN2" s="30">
        <f ca="1">IF(ISNUMBER(InfoQ!$H2),DATE(YEAR(IN$1),MONTH(IN$1)+InfoQ!$H2,InfoQ!$I2),0)</f>
        <v>41491</v>
      </c>
      <c r="IO2" s="30"/>
      <c r="IP2" s="30"/>
      <c r="IQ2" s="30">
        <f ca="1">IF(ISNUMBER(InfoQ!$H2),DATE(YEAR(IQ$1),MONTH(IQ$1)+InfoQ!$H2,InfoQ!$I2),0)</f>
        <v>41583</v>
      </c>
      <c r="IR2" s="30"/>
      <c r="IS2" s="30"/>
      <c r="IT2" s="30">
        <f ca="1">IF(ISNUMBER(InfoQ!$H2),DATE(YEAR(IT$1),MONTH(IT$1)+InfoQ!$H2,InfoQ!$I2),0)</f>
        <v>41675</v>
      </c>
      <c r="IU2" s="30"/>
      <c r="IV2" s="30"/>
      <c r="IW2" s="30">
        <f ca="1">IF(ISNUMBER(InfoQ!$H2),DATE(YEAR(IW$1),MONTH(IW$1)+InfoQ!$H2,InfoQ!$I2),0)</f>
        <v>41764</v>
      </c>
      <c r="IX2" s="30"/>
      <c r="IY2" s="30"/>
      <c r="IZ2" s="30">
        <f ca="1">IF(ISNUMBER(InfoQ!$H2),DATE(YEAR(IZ$1),MONTH(IZ$1)+InfoQ!$H2,InfoQ!$I2),0)</f>
        <v>41856</v>
      </c>
      <c r="JA2" s="30"/>
      <c r="JB2" s="30"/>
      <c r="JC2" s="30">
        <f ca="1">IF(ISNUMBER(InfoQ!$H2),DATE(YEAR(JC$1),MONTH(JC$1)+InfoQ!$H2,InfoQ!$I2),0)</f>
        <v>41948</v>
      </c>
      <c r="JD2" s="30"/>
      <c r="JE2" s="30"/>
      <c r="JF2" s="30">
        <f ca="1">IF(ISNUMBER(InfoQ!$H2),DATE(YEAR(JF$1),MONTH(JF$1)+InfoQ!$H2,InfoQ!$I2),0)</f>
        <v>42040</v>
      </c>
      <c r="JG2" s="30"/>
      <c r="JH2" s="30"/>
      <c r="JI2" s="30">
        <f ca="1">IF(ISNUMBER(InfoQ!$H2),DATE(YEAR(JI$1),MONTH(JI$1)+InfoQ!$H2,InfoQ!$I2),0)</f>
        <v>42129</v>
      </c>
      <c r="JJ2" s="30"/>
      <c r="JK2" s="30"/>
      <c r="JL2" s="30">
        <f ca="1">IF(ISNUMBER(InfoQ!$H2),DATE(YEAR(JL$1),MONTH(JL$1)+InfoQ!$H2,InfoQ!$I2),0)</f>
        <v>42221</v>
      </c>
      <c r="JM2" s="30"/>
      <c r="JN2" s="30"/>
      <c r="JO2" s="30">
        <f ca="1">IF(ISNUMBER(InfoQ!$H2),DATE(YEAR(JO$1),MONTH(JO$1)+InfoQ!$H2,InfoQ!$I2),0)</f>
        <v>42313</v>
      </c>
      <c r="JP2" s="30"/>
      <c r="JQ2" s="30"/>
      <c r="JR2" s="30">
        <f ca="1">IF(ISNUMBER(InfoQ!$H2),DATE(YEAR(JR$1),MONTH(JR$1)+InfoQ!$H2,InfoQ!$I2),0)</f>
        <v>42405</v>
      </c>
      <c r="JS2" s="30"/>
      <c r="JT2" s="30"/>
      <c r="JU2" s="30">
        <f ca="1">IF(ISNUMBER(InfoQ!$H2),DATE(YEAR(JU$1),MONTH(JU$1)+InfoQ!$H2,InfoQ!$I2),0)</f>
        <v>42495</v>
      </c>
      <c r="JV2" s="30"/>
      <c r="JW2" s="30"/>
      <c r="JX2" s="30">
        <f ca="1">IF(ISNUMBER(InfoQ!$H2),DATE(YEAR(JX$1),MONTH(JX$1)+InfoQ!$H2,InfoQ!$I2),0)</f>
        <v>42587</v>
      </c>
      <c r="JY2" s="30"/>
      <c r="JZ2" s="30"/>
      <c r="KA2" s="30">
        <f ca="1">IF(ISNUMBER(InfoQ!$H2),DATE(YEAR(KA$1),MONTH(KA$1)+InfoQ!$H2,InfoQ!$I2),0)</f>
        <v>42679</v>
      </c>
      <c r="KB2" s="30"/>
      <c r="KC2" s="30"/>
      <c r="KD2" s="30">
        <f ca="1">IF(ISNUMBER(InfoQ!$H2),DATE(YEAR(KD$1),MONTH(KD$1)+InfoQ!$H2,InfoQ!$I2),0)</f>
        <v>42771</v>
      </c>
      <c r="KE2" s="30"/>
      <c r="KF2" s="30"/>
      <c r="KG2" s="30">
        <f ca="1">IF(ISNUMBER(InfoQ!$H2),DATE(YEAR(KG$1),MONTH(KG$1)+InfoQ!$H2,InfoQ!$I2),0)</f>
        <v>42860</v>
      </c>
      <c r="KH2" s="30"/>
      <c r="KI2" s="30"/>
      <c r="KJ2" s="30">
        <f ca="1">IF(ISNUMBER(InfoQ!$H2),DATE(YEAR(KJ$1),MONTH(KJ$1)+InfoQ!$H2,InfoQ!$I2),0)</f>
        <v>42952</v>
      </c>
      <c r="KK2" s="30"/>
      <c r="KL2" s="30"/>
      <c r="KM2" s="30">
        <f ca="1">IF(ISNUMBER(InfoQ!$H2),DATE(YEAR(KM$1),MONTH(KM$1)+InfoQ!$H2,InfoQ!$I2),0)</f>
        <v>43044</v>
      </c>
      <c r="KN2" s="30"/>
      <c r="KO2" s="30"/>
      <c r="KP2" s="30">
        <f ca="1">IF(ISNUMBER(InfoQ!$H2),DATE(YEAR(KP$1),MONTH(KP$1)+InfoQ!$H2,InfoQ!$I2),0)</f>
        <v>43136</v>
      </c>
      <c r="KQ2" s="30"/>
      <c r="KR2" s="30"/>
      <c r="KS2" s="30">
        <f ca="1">IF(ISNUMBER(InfoQ!$H2),DATE(YEAR(KS$1),MONTH(KS$1)+InfoQ!$H2,InfoQ!$I2),0)</f>
        <v>43225</v>
      </c>
      <c r="KT2" s="30"/>
      <c r="KU2" s="30"/>
      <c r="KV2" s="30">
        <f ca="1">IF(ISNUMBER(InfoQ!$H2),DATE(YEAR(KV$1),MONTH(KV$1)+InfoQ!$H2,InfoQ!$I2),0)</f>
        <v>43317</v>
      </c>
      <c r="KW2" s="30"/>
      <c r="KX2" s="30"/>
      <c r="KY2" s="30">
        <f ca="1">IF(ISNUMBER(InfoQ!$H2),DATE(YEAR(KY$1),MONTH(KY$1)+InfoQ!$H2,InfoQ!$I2),0)</f>
        <v>43409</v>
      </c>
      <c r="KZ2" s="30"/>
      <c r="LA2" s="30"/>
      <c r="LB2" s="30">
        <f ca="1">IF(ISNUMBER(InfoQ!$H2),DATE(YEAR(LB$1),MONTH(LB$1)+InfoQ!$H2,InfoQ!$I2),0)</f>
        <v>43501</v>
      </c>
      <c r="LC2" s="30"/>
      <c r="LD2" s="30"/>
      <c r="LE2" s="30">
        <f ca="1">IF(ISNUMBER(InfoQ!$H2),DATE(YEAR(LE$1),MONTH(LE$1)+InfoQ!$H2,InfoQ!$I2),0)</f>
        <v>43590</v>
      </c>
      <c r="LF2" s="30"/>
      <c r="LG2" s="30"/>
      <c r="LH2" s="30">
        <f ca="1">IF(ISNUMBER(InfoQ!$H2),DATE(YEAR(LH$1),MONTH(LH$1)+InfoQ!$H2,InfoQ!$I2),0)</f>
        <v>43682</v>
      </c>
      <c r="LI2" s="30"/>
      <c r="LJ2" s="30"/>
      <c r="LK2" s="30">
        <f ca="1">IF(ISNUMBER(InfoQ!$H2),DATE(YEAR(LK$1),MONTH(LK$1)+InfoQ!$H2,InfoQ!$I2),0)</f>
        <v>43774</v>
      </c>
      <c r="LL2" s="30"/>
      <c r="LM2" s="30"/>
      <c r="LN2" s="30">
        <f ca="1">IF(ISNUMBER(InfoQ!$H2),DATE(YEAR(LN$1),MONTH(LN$1)+InfoQ!$H2,InfoQ!$I2),0)</f>
        <v>43866</v>
      </c>
      <c r="LO2" s="30"/>
      <c r="LP2" s="30"/>
      <c r="LQ2" s="30">
        <f ca="1">IF(ISNUMBER(InfoQ!$H2),DATE(YEAR(LQ$1),MONTH(LQ$1)+InfoQ!$H2,InfoQ!$I2),0)</f>
        <v>43956</v>
      </c>
      <c r="LR2" s="30"/>
      <c r="LS2" s="30"/>
      <c r="LT2" s="30">
        <f ca="1">IF(ISNUMBER(InfoQ!$H2),DATE(YEAR(LT$1),MONTH(LT$1)+InfoQ!$H2,InfoQ!$I2),0)</f>
        <v>44048</v>
      </c>
      <c r="LU2" s="30"/>
      <c r="LV2" s="30"/>
      <c r="LW2" s="30">
        <f ca="1">IF(ISNUMBER(InfoQ!$H2),DATE(YEAR(LW$1),MONTH(LW$1)+InfoQ!$H2,InfoQ!$I2),0)</f>
        <v>44140</v>
      </c>
      <c r="LX2" s="30"/>
      <c r="LY2" s="30"/>
      <c r="LZ2" s="30">
        <f ca="1">IF(ISNUMBER(InfoQ!$H2),DATE(YEAR(LZ$1),MONTH(LZ$1)+InfoQ!$H2,InfoQ!$I2),0)</f>
        <v>44232</v>
      </c>
      <c r="MA2" s="30"/>
      <c r="MB2" s="30"/>
      <c r="MC2" s="30">
        <f ca="1">IF(ISNUMBER(InfoQ!$H2),DATE(YEAR(MC$1),MONTH(MC$1)+InfoQ!$H2,InfoQ!$I2),0)</f>
        <v>44321</v>
      </c>
      <c r="MD2" s="30"/>
      <c r="ME2" s="30"/>
      <c r="MF2" s="30">
        <f ca="1">IF(ISNUMBER(InfoQ!$H2),DATE(YEAR(MF$1),MONTH(MF$1)+InfoQ!$H2,InfoQ!$I2),0)</f>
        <v>44413</v>
      </c>
      <c r="MG2" s="30"/>
      <c r="MH2" s="30"/>
      <c r="MI2" s="30">
        <f ca="1">IF(ISNUMBER(InfoQ!$H2),DATE(YEAR(MI$1),MONTH(MI$1)+InfoQ!$H2,InfoQ!$I2),0)</f>
        <v>44505</v>
      </c>
      <c r="MJ2" s="30"/>
      <c r="MK2" s="30"/>
      <c r="ML2" s="30">
        <f ca="1">IF(ISNUMBER(InfoQ!$H2),DATE(YEAR(ML$1),MONTH(ML$1)+InfoQ!$H2,InfoQ!$I2),0)</f>
        <v>44597</v>
      </c>
      <c r="MM2" s="30"/>
      <c r="MN2" s="30"/>
      <c r="MO2" s="30">
        <f ca="1">IF(ISNUMBER(InfoQ!$H2),DATE(YEAR(MO$1),MONTH(MO$1)+InfoQ!$H2,InfoQ!$I2),0)</f>
        <v>44686</v>
      </c>
      <c r="MP2" s="30"/>
      <c r="MQ2" s="30"/>
      <c r="MR2" s="30">
        <f ca="1">IF(ISNUMBER(InfoQ!$H2),DATE(YEAR(MR$1),MONTH(MR$1)+InfoQ!$H2,InfoQ!$I2),0)</f>
        <v>44778</v>
      </c>
      <c r="MS2" s="30"/>
      <c r="MT2" s="30"/>
      <c r="MU2" s="30">
        <f ca="1">IF(ISNUMBER(InfoQ!$H2),DATE(YEAR(MU$1),MONTH(MU$1)+InfoQ!$H2,InfoQ!$I2),0)</f>
        <v>44870</v>
      </c>
      <c r="MV2" s="30"/>
      <c r="MW2" s="30"/>
      <c r="MX2" s="30">
        <f ca="1">IF(ISNUMBER(InfoQ!$H2),DATE(YEAR(MX$1),MONTH(MX$1)+InfoQ!$H2,InfoQ!$I2),0)</f>
        <v>44962</v>
      </c>
      <c r="MY2" s="30"/>
      <c r="MZ2" s="30"/>
      <c r="NA2" s="30">
        <f ca="1">IF(ISNUMBER(InfoQ!$H2),DATE(YEAR(NA$1),MONTH(NA$1)+InfoQ!$H2,InfoQ!$I2),0)</f>
        <v>45051</v>
      </c>
      <c r="NB2" s="30"/>
      <c r="NC2" s="30"/>
      <c r="ND2" s="30">
        <f ca="1">IF(ISNUMBER(InfoQ!$H2),DATE(YEAR(ND$1),MONTH(ND$1)+InfoQ!$H2,InfoQ!$I2),0)</f>
        <v>45143</v>
      </c>
      <c r="NE2" s="30"/>
      <c r="NF2" s="30"/>
      <c r="NG2" s="30">
        <f ca="1">IF(ISNUMBER(InfoQ!$H2),DATE(YEAR(NG$1),MONTH(NG$1)+InfoQ!$H2,InfoQ!$I2),0)</f>
        <v>45235</v>
      </c>
      <c r="NH2" s="30"/>
      <c r="NI2" s="30"/>
      <c r="NJ2" s="30">
        <f ca="1">IF(ISNUMBER(InfoQ!$H2),DATE(YEAR(NJ$1),MONTH(NJ$1)+InfoQ!$H2,InfoQ!$I2),0)</f>
        <v>45327</v>
      </c>
      <c r="NK2" s="30"/>
      <c r="NL2" s="30"/>
      <c r="NM2" s="30">
        <f ca="1">IF(ISNUMBER(InfoQ!$H2),DATE(YEAR(NM$1),MONTH(NM$1)+InfoQ!$H2,InfoQ!$I2),0)</f>
        <v>45417</v>
      </c>
      <c r="NN2" s="30"/>
      <c r="NO2" s="30"/>
      <c r="NP2" s="30">
        <f ca="1">IF(ISNUMBER(InfoQ!$H2),DATE(YEAR(NP$1),MONTH(NP$1)+InfoQ!$H2,InfoQ!$I2),0)</f>
        <v>45509</v>
      </c>
      <c r="NQ2" s="30"/>
      <c r="NR2" s="30"/>
      <c r="NS2" s="30">
        <f ca="1">IF(ISNUMBER(InfoQ!$H2),DATE(YEAR(NS$1),MONTH(NS$1)+InfoQ!$H2,InfoQ!$I2),0)</f>
        <v>45601</v>
      </c>
      <c r="NT2" s="30"/>
      <c r="NU2" s="30"/>
      <c r="NV2" s="30">
        <f ca="1">IF(ISNUMBER(InfoQ!$H2),DATE(YEAR(NV$1),MONTH(NV$1)+InfoQ!$H2,InfoQ!$I2),0)</f>
        <v>45693</v>
      </c>
      <c r="NW2" s="30"/>
      <c r="NX2" s="30"/>
      <c r="NY2" s="30">
        <f ca="1">IF(ISNUMBER(InfoQ!$H2),DATE(YEAR(NY$1),MONTH(NY$1)+InfoQ!$H2,InfoQ!$I2),0)</f>
        <v>45782</v>
      </c>
      <c r="NZ2" s="30"/>
      <c r="OA2" s="30"/>
      <c r="OB2" s="30">
        <f ca="1">IF(ISNUMBER(InfoQ!$H2),DATE(YEAR(OB$1),MONTH(OB$1)+InfoQ!$H2,InfoQ!$I2),0)</f>
        <v>45874</v>
      </c>
      <c r="OC2" s="30"/>
      <c r="OD2" s="30"/>
      <c r="OE2" s="30">
        <f ca="1">IF(ISNUMBER(InfoQ!$H2),DATE(YEAR(OE$1),MONTH(OE$1)+InfoQ!$H2,InfoQ!$I2),0)</f>
        <v>45966</v>
      </c>
      <c r="OF2" s="30"/>
      <c r="OG2" s="30"/>
      <c r="OH2" s="30">
        <f ca="1">IF(ISNUMBER(InfoQ!$H2),DATE(YEAR(OH$1),MONTH(OH$1)+InfoQ!$H2,InfoQ!$I2),0)</f>
        <v>46058</v>
      </c>
      <c r="OI2" s="30"/>
      <c r="OJ2" s="30"/>
      <c r="OK2" s="30">
        <f ca="1">IF(ISNUMBER(InfoQ!$H2),DATE(YEAR(OK$1),MONTH(OK$1)+InfoQ!$H2,InfoQ!$I2),0)</f>
        <v>46147</v>
      </c>
      <c r="OL2" s="30"/>
      <c r="OM2" s="30"/>
      <c r="ON2" s="30">
        <f ca="1">IF(ISNUMBER(InfoQ!$H2),DATE(YEAR(ON$1),MONTH(ON$1)+InfoQ!$H2,InfoQ!$I2),0)</f>
        <v>46239</v>
      </c>
      <c r="OO2" s="30"/>
      <c r="OP2" s="30"/>
      <c r="OQ2" s="30">
        <f ca="1">IF(ISNUMBER(InfoQ!$H2),DATE(YEAR(OQ$1),MONTH(OQ$1)+InfoQ!$H2,InfoQ!$I2),0)</f>
        <v>46331</v>
      </c>
      <c r="OR2" s="30"/>
      <c r="OS2" s="30"/>
      <c r="OT2" s="30">
        <f ca="1">IF(ISNUMBER(InfoQ!$H2),DATE(YEAR(OT$1),MONTH(OT$1)+InfoQ!$H2,InfoQ!$I2),0)</f>
        <v>46423</v>
      </c>
    </row>
    <row r="3" spans="1:410" x14ac:dyDescent="0.35">
      <c r="A3" t="str">
        <f>InfoQ!A3</f>
        <v>RGDP_growth</v>
      </c>
      <c r="B3" s="34">
        <f>InfoQ!G3</f>
        <v>1</v>
      </c>
      <c r="C3" s="30"/>
      <c r="D3" s="30"/>
      <c r="E3" s="30">
        <f ca="1">IF(ISNUMBER(InfoQ!$H3),DATE(YEAR(E$1),MONTH(E$1)+InfoQ!$H3,InfoQ!$I3),0)</f>
        <v>34094</v>
      </c>
      <c r="F3" s="30"/>
      <c r="G3" s="30"/>
      <c r="H3" s="30">
        <f ca="1">IF(ISNUMBER(InfoQ!$H3),DATE(YEAR(H$1),MONTH(H$1)+InfoQ!$H3,InfoQ!$I3),0)</f>
        <v>34186</v>
      </c>
      <c r="I3" s="30"/>
      <c r="J3" s="30"/>
      <c r="K3" s="30">
        <f ca="1">IF(ISNUMBER(InfoQ!$H3),DATE(YEAR(K$1),MONTH(K$1)+InfoQ!$H3,InfoQ!$I3),0)</f>
        <v>34278</v>
      </c>
      <c r="L3" s="30"/>
      <c r="M3" s="30"/>
      <c r="N3" s="30">
        <f ca="1">IF(ISNUMBER(InfoQ!$H3),DATE(YEAR(N$1),MONTH(N$1)+InfoQ!$H3,InfoQ!$I3),0)</f>
        <v>34370</v>
      </c>
      <c r="O3" s="30"/>
      <c r="P3" s="30"/>
      <c r="Q3" s="30">
        <f ca="1">IF(ISNUMBER(InfoQ!$H3),DATE(YEAR(Q$1),MONTH(Q$1)+InfoQ!$H3,InfoQ!$I3),0)</f>
        <v>34459</v>
      </c>
      <c r="R3" s="30"/>
      <c r="S3" s="30"/>
      <c r="T3" s="30">
        <f ca="1">IF(ISNUMBER(InfoQ!$H3),DATE(YEAR(T$1),MONTH(T$1)+InfoQ!$H3,InfoQ!$I3),0)</f>
        <v>34551</v>
      </c>
      <c r="U3" s="30"/>
      <c r="V3" s="30"/>
      <c r="W3" s="30">
        <f ca="1">IF(ISNUMBER(InfoQ!$H3),DATE(YEAR(W$1),MONTH(W$1)+InfoQ!$H3,InfoQ!$I3),0)</f>
        <v>34643</v>
      </c>
      <c r="X3" s="30"/>
      <c r="Y3" s="30"/>
      <c r="Z3" s="30">
        <f ca="1">IF(ISNUMBER(InfoQ!$H3),DATE(YEAR(Z$1),MONTH(Z$1)+InfoQ!$H3,InfoQ!$I3),0)</f>
        <v>34735</v>
      </c>
      <c r="AA3" s="30"/>
      <c r="AB3" s="30"/>
      <c r="AC3" s="30">
        <f ca="1">IF(ISNUMBER(InfoQ!$H3),DATE(YEAR(AC$1),MONTH(AC$1)+InfoQ!$H3,InfoQ!$I3),0)</f>
        <v>34824</v>
      </c>
      <c r="AD3" s="30"/>
      <c r="AE3" s="30"/>
      <c r="AF3" s="30">
        <f ca="1">IF(ISNUMBER(InfoQ!$H3),DATE(YEAR(AF$1),MONTH(AF$1)+InfoQ!$H3,InfoQ!$I3),0)</f>
        <v>34916</v>
      </c>
      <c r="AG3" s="30"/>
      <c r="AH3" s="30"/>
      <c r="AI3" s="30">
        <f ca="1">IF(ISNUMBER(InfoQ!$H3),DATE(YEAR(AI$1),MONTH(AI$1)+InfoQ!$H3,InfoQ!$I3),0)</f>
        <v>35008</v>
      </c>
      <c r="AJ3" s="30"/>
      <c r="AK3" s="30"/>
      <c r="AL3" s="30">
        <f ca="1">IF(ISNUMBER(InfoQ!$H3),DATE(YEAR(AL$1),MONTH(AL$1)+InfoQ!$H3,InfoQ!$I3),0)</f>
        <v>35100</v>
      </c>
      <c r="AM3" s="30"/>
      <c r="AN3" s="30"/>
      <c r="AO3" s="30">
        <f ca="1">IF(ISNUMBER(InfoQ!$H3),DATE(YEAR(AO$1),MONTH(AO$1)+InfoQ!$H3,InfoQ!$I3),0)</f>
        <v>35190</v>
      </c>
      <c r="AP3" s="30"/>
      <c r="AQ3" s="30"/>
      <c r="AR3" s="30">
        <f ca="1">IF(ISNUMBER(InfoQ!$H3),DATE(YEAR(AR$1),MONTH(AR$1)+InfoQ!$H3,InfoQ!$I3),0)</f>
        <v>35282</v>
      </c>
      <c r="AS3" s="30"/>
      <c r="AT3" s="30"/>
      <c r="AU3" s="30">
        <f ca="1">IF(ISNUMBER(InfoQ!$H3),DATE(YEAR(AU$1),MONTH(AU$1)+InfoQ!$H3,InfoQ!$I3),0)</f>
        <v>35374</v>
      </c>
      <c r="AV3" s="30"/>
      <c r="AW3" s="30"/>
      <c r="AX3" s="30">
        <f ca="1">IF(ISNUMBER(InfoQ!$H3),DATE(YEAR(AX$1),MONTH(AX$1)+InfoQ!$H3,InfoQ!$I3),0)</f>
        <v>35466</v>
      </c>
      <c r="AY3" s="30"/>
      <c r="AZ3" s="30"/>
      <c r="BA3" s="30">
        <f ca="1">IF(ISNUMBER(InfoQ!$H3),DATE(YEAR(BA$1),MONTH(BA$1)+InfoQ!$H3,InfoQ!$I3),0)</f>
        <v>35555</v>
      </c>
      <c r="BB3" s="30"/>
      <c r="BC3" s="30"/>
      <c r="BD3" s="30">
        <f ca="1">IF(ISNUMBER(InfoQ!$H3),DATE(YEAR(BD$1),MONTH(BD$1)+InfoQ!$H3,InfoQ!$I3),0)</f>
        <v>35647</v>
      </c>
      <c r="BE3" s="30"/>
      <c r="BF3" s="30"/>
      <c r="BG3" s="30">
        <f ca="1">IF(ISNUMBER(InfoQ!$H3),DATE(YEAR(BG$1),MONTH(BG$1)+InfoQ!$H3,InfoQ!$I3),0)</f>
        <v>35739</v>
      </c>
      <c r="BH3" s="30"/>
      <c r="BI3" s="30"/>
      <c r="BJ3" s="30">
        <f ca="1">IF(ISNUMBER(InfoQ!$H3),DATE(YEAR(BJ$1),MONTH(BJ$1)+InfoQ!$H3,InfoQ!$I3),0)</f>
        <v>35831</v>
      </c>
      <c r="BK3" s="30"/>
      <c r="BL3" s="30"/>
      <c r="BM3" s="30">
        <f ca="1">IF(ISNUMBER(InfoQ!$H3),DATE(YEAR(BM$1),MONTH(BM$1)+InfoQ!$H3,InfoQ!$I3),0)</f>
        <v>35920</v>
      </c>
      <c r="BN3" s="30"/>
      <c r="BO3" s="30"/>
      <c r="BP3" s="30">
        <f ca="1">IF(ISNUMBER(InfoQ!$H3),DATE(YEAR(BP$1),MONTH(BP$1)+InfoQ!$H3,InfoQ!$I3),0)</f>
        <v>36012</v>
      </c>
      <c r="BQ3" s="30"/>
      <c r="BR3" s="30"/>
      <c r="BS3" s="30">
        <f ca="1">IF(ISNUMBER(InfoQ!$H3),DATE(YEAR(BS$1),MONTH(BS$1)+InfoQ!$H3,InfoQ!$I3),0)</f>
        <v>36104</v>
      </c>
      <c r="BT3" s="30"/>
      <c r="BU3" s="30"/>
      <c r="BV3" s="30">
        <f ca="1">IF(ISNUMBER(InfoQ!$H3),DATE(YEAR(BV$1),MONTH(BV$1)+InfoQ!$H3,InfoQ!$I3),0)</f>
        <v>36196</v>
      </c>
      <c r="BW3" s="30"/>
      <c r="BX3" s="30"/>
      <c r="BY3" s="30">
        <f ca="1">IF(ISNUMBER(InfoQ!$H3),DATE(YEAR(BY$1),MONTH(BY$1)+InfoQ!$H3,InfoQ!$I3),0)</f>
        <v>36285</v>
      </c>
      <c r="BZ3" s="30"/>
      <c r="CA3" s="30"/>
      <c r="CB3" s="30">
        <f ca="1">IF(ISNUMBER(InfoQ!$H3),DATE(YEAR(CB$1),MONTH(CB$1)+InfoQ!$H3,InfoQ!$I3),0)</f>
        <v>36377</v>
      </c>
      <c r="CC3" s="30"/>
      <c r="CD3" s="30"/>
      <c r="CE3" s="30">
        <f ca="1">IF(ISNUMBER(InfoQ!$H3),DATE(YEAR(CE$1),MONTH(CE$1)+InfoQ!$H3,InfoQ!$I3),0)</f>
        <v>36469</v>
      </c>
      <c r="CF3" s="30"/>
      <c r="CG3" s="30"/>
      <c r="CH3" s="30">
        <f ca="1">IF(ISNUMBER(InfoQ!$H3),DATE(YEAR(CH$1),MONTH(CH$1)+InfoQ!$H3,InfoQ!$I3),0)</f>
        <v>36561</v>
      </c>
      <c r="CI3" s="30"/>
      <c r="CJ3" s="30"/>
      <c r="CK3" s="30">
        <f ca="1">IF(ISNUMBER(InfoQ!$H3),DATE(YEAR(CK$1),MONTH(CK$1)+InfoQ!$H3,InfoQ!$I3),0)</f>
        <v>36651</v>
      </c>
      <c r="CL3" s="30"/>
      <c r="CM3" s="30"/>
      <c r="CN3" s="30">
        <f ca="1">IF(ISNUMBER(InfoQ!$H3),DATE(YEAR(CN$1),MONTH(CN$1)+InfoQ!$H3,InfoQ!$I3),0)</f>
        <v>36743</v>
      </c>
      <c r="CO3" s="30"/>
      <c r="CP3" s="30"/>
      <c r="CQ3" s="30">
        <f ca="1">IF(ISNUMBER(InfoQ!$H3),DATE(YEAR(CQ$1),MONTH(CQ$1)+InfoQ!$H3,InfoQ!$I3),0)</f>
        <v>36835</v>
      </c>
      <c r="CR3" s="30"/>
      <c r="CS3" s="30"/>
      <c r="CT3" s="30">
        <f ca="1">IF(ISNUMBER(InfoQ!$H3),DATE(YEAR(CT$1),MONTH(CT$1)+InfoQ!$H3,InfoQ!$I3),0)</f>
        <v>36927</v>
      </c>
      <c r="CU3" s="30"/>
      <c r="CV3" s="30"/>
      <c r="CW3" s="30">
        <f ca="1">IF(ISNUMBER(InfoQ!$H3),DATE(YEAR(CW$1),MONTH(CW$1)+InfoQ!$H3,InfoQ!$I3),0)</f>
        <v>37016</v>
      </c>
      <c r="CX3" s="30"/>
      <c r="CY3" s="30"/>
      <c r="CZ3" s="30">
        <f ca="1">IF(ISNUMBER(InfoQ!$H3),DATE(YEAR(CZ$1),MONTH(CZ$1)+InfoQ!$H3,InfoQ!$I3),0)</f>
        <v>37108</v>
      </c>
      <c r="DA3" s="30"/>
      <c r="DB3" s="30"/>
      <c r="DC3" s="30">
        <f ca="1">IF(ISNUMBER(InfoQ!$H3),DATE(YEAR(DC$1),MONTH(DC$1)+InfoQ!$H3,InfoQ!$I3),0)</f>
        <v>37200</v>
      </c>
      <c r="DD3" s="30"/>
      <c r="DE3" s="30"/>
      <c r="DF3" s="30">
        <f ca="1">IF(ISNUMBER(InfoQ!$H3),DATE(YEAR(DF$1),MONTH(DF$1)+InfoQ!$H3,InfoQ!$I3),0)</f>
        <v>37292</v>
      </c>
      <c r="DG3" s="30"/>
      <c r="DH3" s="30"/>
      <c r="DI3" s="30">
        <f ca="1">IF(ISNUMBER(InfoQ!$H3),DATE(YEAR(DI$1),MONTH(DI$1)+InfoQ!$H3,InfoQ!$I3),0)</f>
        <v>37381</v>
      </c>
      <c r="DJ3" s="30"/>
      <c r="DK3" s="30"/>
      <c r="DL3" s="30">
        <f ca="1">IF(ISNUMBER(InfoQ!$H3),DATE(YEAR(DL$1),MONTH(DL$1)+InfoQ!$H3,InfoQ!$I3),0)</f>
        <v>37473</v>
      </c>
      <c r="DM3" s="30"/>
      <c r="DN3" s="30"/>
      <c r="DO3" s="30">
        <f ca="1">IF(ISNUMBER(InfoQ!$H3),DATE(YEAR(DO$1),MONTH(DO$1)+InfoQ!$H3,InfoQ!$I3),0)</f>
        <v>37565</v>
      </c>
      <c r="DP3" s="30"/>
      <c r="DQ3" s="30"/>
      <c r="DR3" s="30">
        <f ca="1">IF(ISNUMBER(InfoQ!$H3),DATE(YEAR(DR$1),MONTH(DR$1)+InfoQ!$H3,InfoQ!$I3),0)</f>
        <v>37657</v>
      </c>
      <c r="DS3" s="30"/>
      <c r="DT3" s="30"/>
      <c r="DU3" s="30">
        <f ca="1">IF(ISNUMBER(InfoQ!$H3),DATE(YEAR(DU$1),MONTH(DU$1)+InfoQ!$H3,InfoQ!$I3),0)</f>
        <v>37746</v>
      </c>
      <c r="DV3" s="30"/>
      <c r="DW3" s="30"/>
      <c r="DX3" s="30">
        <f ca="1">IF(ISNUMBER(InfoQ!$H3),DATE(YEAR(DX$1),MONTH(DX$1)+InfoQ!$H3,InfoQ!$I3),0)</f>
        <v>37838</v>
      </c>
      <c r="DY3" s="30"/>
      <c r="DZ3" s="30"/>
      <c r="EA3" s="30">
        <f ca="1">IF(ISNUMBER(InfoQ!$H3),DATE(YEAR(EA$1),MONTH(EA$1)+InfoQ!$H3,InfoQ!$I3),0)</f>
        <v>37930</v>
      </c>
      <c r="EB3" s="30"/>
      <c r="EC3" s="30"/>
      <c r="ED3" s="30">
        <f ca="1">IF(ISNUMBER(InfoQ!$H3),DATE(YEAR(ED$1),MONTH(ED$1)+InfoQ!$H3,InfoQ!$I3),0)</f>
        <v>38022</v>
      </c>
      <c r="EE3" s="30"/>
      <c r="EF3" s="30"/>
      <c r="EG3" s="30">
        <f ca="1">IF(ISNUMBER(InfoQ!$H3),DATE(YEAR(EG$1),MONTH(EG$1)+InfoQ!$H3,InfoQ!$I3),0)</f>
        <v>38112</v>
      </c>
      <c r="EH3" s="30"/>
      <c r="EI3" s="30"/>
      <c r="EJ3" s="30">
        <f ca="1">IF(ISNUMBER(InfoQ!$H3),DATE(YEAR(EJ$1),MONTH(EJ$1)+InfoQ!$H3,InfoQ!$I3),0)</f>
        <v>38204</v>
      </c>
      <c r="EK3" s="30"/>
      <c r="EL3" s="30"/>
      <c r="EM3" s="30">
        <f ca="1">IF(ISNUMBER(InfoQ!$H3),DATE(YEAR(EM$1),MONTH(EM$1)+InfoQ!$H3,InfoQ!$I3),0)</f>
        <v>38296</v>
      </c>
      <c r="EN3" s="30"/>
      <c r="EO3" s="30"/>
      <c r="EP3" s="30">
        <f ca="1">IF(ISNUMBER(InfoQ!$H3),DATE(YEAR(EP$1),MONTH(EP$1)+InfoQ!$H3,InfoQ!$I3),0)</f>
        <v>38388</v>
      </c>
      <c r="EQ3" s="30"/>
      <c r="ER3" s="30"/>
      <c r="ES3" s="30">
        <f ca="1">IF(ISNUMBER(InfoQ!$H3),DATE(YEAR(ES$1),MONTH(ES$1)+InfoQ!$H3,InfoQ!$I3),0)</f>
        <v>38477</v>
      </c>
      <c r="ET3" s="30"/>
      <c r="EU3" s="30"/>
      <c r="EV3" s="30">
        <f ca="1">IF(ISNUMBER(InfoQ!$H3),DATE(YEAR(EV$1),MONTH(EV$1)+InfoQ!$H3,InfoQ!$I3),0)</f>
        <v>38569</v>
      </c>
      <c r="EW3" s="30"/>
      <c r="EX3" s="30"/>
      <c r="EY3" s="30">
        <f ca="1">IF(ISNUMBER(InfoQ!$H3),DATE(YEAR(EY$1),MONTH(EY$1)+InfoQ!$H3,InfoQ!$I3),0)</f>
        <v>38661</v>
      </c>
      <c r="EZ3" s="30"/>
      <c r="FA3" s="30"/>
      <c r="FB3" s="30">
        <f ca="1">IF(ISNUMBER(InfoQ!$H3),DATE(YEAR(FB$1),MONTH(FB$1)+InfoQ!$H3,InfoQ!$I3),0)</f>
        <v>38753</v>
      </c>
      <c r="FC3" s="30"/>
      <c r="FD3" s="30"/>
      <c r="FE3" s="30">
        <f ca="1">IF(ISNUMBER(InfoQ!$H3),DATE(YEAR(FE$1),MONTH(FE$1)+InfoQ!$H3,InfoQ!$I3),0)</f>
        <v>38842</v>
      </c>
      <c r="FF3" s="30"/>
      <c r="FG3" s="30"/>
      <c r="FH3" s="30">
        <f ca="1">IF(ISNUMBER(InfoQ!$H3),DATE(YEAR(FH$1),MONTH(FH$1)+InfoQ!$H3,InfoQ!$I3),0)</f>
        <v>38934</v>
      </c>
      <c r="FI3" s="30"/>
      <c r="FJ3" s="30"/>
      <c r="FK3" s="30">
        <f ca="1">IF(ISNUMBER(InfoQ!$H3),DATE(YEAR(FK$1),MONTH(FK$1)+InfoQ!$H3,InfoQ!$I3),0)</f>
        <v>39026</v>
      </c>
      <c r="FL3" s="30"/>
      <c r="FM3" s="30"/>
      <c r="FN3" s="30">
        <f ca="1">IF(ISNUMBER(InfoQ!$H3),DATE(YEAR(FN$1),MONTH(FN$1)+InfoQ!$H3,InfoQ!$I3),0)</f>
        <v>39118</v>
      </c>
      <c r="FO3" s="30"/>
      <c r="FP3" s="30"/>
      <c r="FQ3" s="30">
        <f ca="1">IF(ISNUMBER(InfoQ!$H3),DATE(YEAR(FQ$1),MONTH(FQ$1)+InfoQ!$H3,InfoQ!$I3),0)</f>
        <v>39207</v>
      </c>
      <c r="FR3" s="30"/>
      <c r="FS3" s="30"/>
      <c r="FT3" s="30">
        <f ca="1">IF(ISNUMBER(InfoQ!$H3),DATE(YEAR(FT$1),MONTH(FT$1)+InfoQ!$H3,InfoQ!$I3),0)</f>
        <v>39299</v>
      </c>
      <c r="FU3" s="30"/>
      <c r="FV3" s="30"/>
      <c r="FW3" s="30">
        <f ca="1">IF(ISNUMBER(InfoQ!$H3),DATE(YEAR(FW$1),MONTH(FW$1)+InfoQ!$H3,InfoQ!$I3),0)</f>
        <v>39391</v>
      </c>
      <c r="FX3" s="30"/>
      <c r="FY3" s="30"/>
      <c r="FZ3" s="30">
        <f ca="1">IF(ISNUMBER(InfoQ!$H3),DATE(YEAR(FZ$1),MONTH(FZ$1)+InfoQ!$H3,InfoQ!$I3),0)</f>
        <v>39483</v>
      </c>
      <c r="GA3" s="30"/>
      <c r="GB3" s="30"/>
      <c r="GC3" s="30">
        <f ca="1">IF(ISNUMBER(InfoQ!$H3),DATE(YEAR(GC$1),MONTH(GC$1)+InfoQ!$H3,InfoQ!$I3),0)</f>
        <v>39573</v>
      </c>
      <c r="GD3" s="30"/>
      <c r="GE3" s="30"/>
      <c r="GF3" s="30">
        <f ca="1">IF(ISNUMBER(InfoQ!$H3),DATE(YEAR(GF$1),MONTH(GF$1)+InfoQ!$H3,InfoQ!$I3),0)</f>
        <v>39665</v>
      </c>
      <c r="GG3" s="30"/>
      <c r="GH3" s="30"/>
      <c r="GI3" s="30">
        <f ca="1">IF(ISNUMBER(InfoQ!$H3),DATE(YEAR(GI$1),MONTH(GI$1)+InfoQ!$H3,InfoQ!$I3),0)</f>
        <v>39757</v>
      </c>
      <c r="GJ3" s="30"/>
      <c r="GK3" s="30"/>
      <c r="GL3" s="30">
        <f ca="1">IF(ISNUMBER(InfoQ!$H3),DATE(YEAR(GL$1),MONTH(GL$1)+InfoQ!$H3,InfoQ!$I3),0)</f>
        <v>39849</v>
      </c>
      <c r="GM3" s="30"/>
      <c r="GN3" s="30"/>
      <c r="GO3" s="30">
        <f ca="1">IF(ISNUMBER(InfoQ!$H3),DATE(YEAR(GO$1),MONTH(GO$1)+InfoQ!$H3,InfoQ!$I3),0)</f>
        <v>39938</v>
      </c>
      <c r="GP3" s="30"/>
      <c r="GQ3" s="30"/>
      <c r="GR3" s="30">
        <f ca="1">IF(ISNUMBER(InfoQ!$H3),DATE(YEAR(GR$1),MONTH(GR$1)+InfoQ!$H3,InfoQ!$I3),0)</f>
        <v>40030</v>
      </c>
      <c r="GS3" s="30"/>
      <c r="GT3" s="30"/>
      <c r="GU3" s="30">
        <f ca="1">IF(ISNUMBER(InfoQ!$H3),DATE(YEAR(GU$1),MONTH(GU$1)+InfoQ!$H3,InfoQ!$I3),0)</f>
        <v>40122</v>
      </c>
      <c r="GV3" s="30"/>
      <c r="GW3" s="30"/>
      <c r="GX3" s="30">
        <f ca="1">IF(ISNUMBER(InfoQ!$H3),DATE(YEAR(GX$1),MONTH(GX$1)+InfoQ!$H3,InfoQ!$I3),0)</f>
        <v>40214</v>
      </c>
      <c r="GY3" s="30"/>
      <c r="GZ3" s="30"/>
      <c r="HA3" s="30">
        <f ca="1">IF(ISNUMBER(InfoQ!$H3),DATE(YEAR(HA$1),MONTH(HA$1)+InfoQ!$H3,InfoQ!$I3),0)</f>
        <v>40303</v>
      </c>
      <c r="HB3" s="30"/>
      <c r="HC3" s="30"/>
      <c r="HD3" s="30">
        <f ca="1">IF(ISNUMBER(InfoQ!$H3),DATE(YEAR(HD$1),MONTH(HD$1)+InfoQ!$H3,InfoQ!$I3),0)</f>
        <v>40395</v>
      </c>
      <c r="HE3" s="30"/>
      <c r="HF3" s="30"/>
      <c r="HG3" s="30">
        <f ca="1">IF(ISNUMBER(InfoQ!$H3),DATE(YEAR(HG$1),MONTH(HG$1)+InfoQ!$H3,InfoQ!$I3),0)</f>
        <v>40487</v>
      </c>
      <c r="HH3" s="30"/>
      <c r="HI3" s="30"/>
      <c r="HJ3" s="30">
        <f ca="1">IF(ISNUMBER(InfoQ!$H3),DATE(YEAR(HJ$1),MONTH(HJ$1)+InfoQ!$H3,InfoQ!$I3),0)</f>
        <v>40579</v>
      </c>
      <c r="HK3" s="30"/>
      <c r="HL3" s="30"/>
      <c r="HM3" s="30">
        <f ca="1">IF(ISNUMBER(InfoQ!$H3),DATE(YEAR(HM$1),MONTH(HM$1)+InfoQ!$H3,InfoQ!$I3),0)</f>
        <v>40668</v>
      </c>
      <c r="HN3" s="30"/>
      <c r="HO3" s="30"/>
      <c r="HP3" s="30">
        <f ca="1">IF(ISNUMBER(InfoQ!$H3),DATE(YEAR(HP$1),MONTH(HP$1)+InfoQ!$H3,InfoQ!$I3),0)</f>
        <v>40760</v>
      </c>
      <c r="HQ3" s="30"/>
      <c r="HR3" s="30"/>
      <c r="HS3" s="30">
        <f ca="1">IF(ISNUMBER(InfoQ!$H3),DATE(YEAR(HS$1),MONTH(HS$1)+InfoQ!$H3,InfoQ!$I3),0)</f>
        <v>40852</v>
      </c>
      <c r="HT3" s="30"/>
      <c r="HU3" s="30"/>
      <c r="HV3" s="30">
        <f ca="1">IF(ISNUMBER(InfoQ!$H3),DATE(YEAR(HV$1),MONTH(HV$1)+InfoQ!$H3,InfoQ!$I3),0)</f>
        <v>40944</v>
      </c>
      <c r="HW3" s="30"/>
      <c r="HX3" s="30"/>
      <c r="HY3" s="30">
        <f ca="1">IF(ISNUMBER(InfoQ!$H3),DATE(YEAR(HY$1),MONTH(HY$1)+InfoQ!$H3,InfoQ!$I3),0)</f>
        <v>41034</v>
      </c>
      <c r="HZ3" s="30"/>
      <c r="IA3" s="30"/>
      <c r="IB3" s="30">
        <f ca="1">IF(ISNUMBER(InfoQ!$H3),DATE(YEAR(IB$1),MONTH(IB$1)+InfoQ!$H3,InfoQ!$I3),0)</f>
        <v>41126</v>
      </c>
      <c r="IC3" s="30"/>
      <c r="ID3" s="30"/>
      <c r="IE3" s="30">
        <f ca="1">IF(ISNUMBER(InfoQ!$H3),DATE(YEAR(IE$1),MONTH(IE$1)+InfoQ!$H3,InfoQ!$I3),0)</f>
        <v>41218</v>
      </c>
      <c r="IF3" s="30"/>
      <c r="IG3" s="30"/>
      <c r="IH3" s="30">
        <f ca="1">IF(ISNUMBER(InfoQ!$H3),DATE(YEAR(IH$1),MONTH(IH$1)+InfoQ!$H3,InfoQ!$I3),0)</f>
        <v>41310</v>
      </c>
      <c r="II3" s="30"/>
      <c r="IJ3" s="30"/>
      <c r="IK3" s="30">
        <f ca="1">IF(ISNUMBER(InfoQ!$H3),DATE(YEAR(IK$1),MONTH(IK$1)+InfoQ!$H3,InfoQ!$I3),0)</f>
        <v>41399</v>
      </c>
      <c r="IL3" s="30"/>
      <c r="IM3" s="30"/>
      <c r="IN3" s="30">
        <f ca="1">IF(ISNUMBER(InfoQ!$H3),DATE(YEAR(IN$1),MONTH(IN$1)+InfoQ!$H3,InfoQ!$I3),0)</f>
        <v>41491</v>
      </c>
      <c r="IO3" s="30"/>
      <c r="IP3" s="30"/>
      <c r="IQ3" s="30">
        <f ca="1">IF(ISNUMBER(InfoQ!$H3),DATE(YEAR(IQ$1),MONTH(IQ$1)+InfoQ!$H3,InfoQ!$I3),0)</f>
        <v>41583</v>
      </c>
      <c r="IR3" s="30"/>
      <c r="IS3" s="30"/>
      <c r="IT3" s="30">
        <f ca="1">IF(ISNUMBER(InfoQ!$H3),DATE(YEAR(IT$1),MONTH(IT$1)+InfoQ!$H3,InfoQ!$I3),0)</f>
        <v>41675</v>
      </c>
      <c r="IU3" s="30"/>
      <c r="IV3" s="30"/>
      <c r="IW3" s="30">
        <f ca="1">IF(ISNUMBER(InfoQ!$H3),DATE(YEAR(IW$1),MONTH(IW$1)+InfoQ!$H3,InfoQ!$I3),0)</f>
        <v>41764</v>
      </c>
      <c r="IX3" s="30"/>
      <c r="IY3" s="30"/>
      <c r="IZ3" s="30">
        <f ca="1">IF(ISNUMBER(InfoQ!$H3),DATE(YEAR(IZ$1),MONTH(IZ$1)+InfoQ!$H3,InfoQ!$I3),0)</f>
        <v>41856</v>
      </c>
      <c r="JA3" s="30"/>
      <c r="JB3" s="30"/>
      <c r="JC3" s="30">
        <f ca="1">IF(ISNUMBER(InfoQ!$H3),DATE(YEAR(JC$1),MONTH(JC$1)+InfoQ!$H3,InfoQ!$I3),0)</f>
        <v>41948</v>
      </c>
      <c r="JD3" s="30"/>
      <c r="JE3" s="30"/>
      <c r="JF3" s="30">
        <f ca="1">IF(ISNUMBER(InfoQ!$H3),DATE(YEAR(JF$1),MONTH(JF$1)+InfoQ!$H3,InfoQ!$I3),0)</f>
        <v>42040</v>
      </c>
      <c r="JG3" s="30"/>
      <c r="JH3" s="30"/>
      <c r="JI3" s="30">
        <f ca="1">IF(ISNUMBER(InfoQ!$H3),DATE(YEAR(JI$1),MONTH(JI$1)+InfoQ!$H3,InfoQ!$I3),0)</f>
        <v>42129</v>
      </c>
      <c r="JJ3" s="30"/>
      <c r="JK3" s="30"/>
      <c r="JL3" s="30">
        <f ca="1">IF(ISNUMBER(InfoQ!$H3),DATE(YEAR(JL$1),MONTH(JL$1)+InfoQ!$H3,InfoQ!$I3),0)</f>
        <v>42221</v>
      </c>
      <c r="JM3" s="30"/>
      <c r="JN3" s="30"/>
      <c r="JO3" s="30">
        <f ca="1">IF(ISNUMBER(InfoQ!$H3),DATE(YEAR(JO$1),MONTH(JO$1)+InfoQ!$H3,InfoQ!$I3),0)</f>
        <v>42313</v>
      </c>
      <c r="JP3" s="30"/>
      <c r="JQ3" s="30"/>
      <c r="JR3" s="30">
        <f ca="1">IF(ISNUMBER(InfoQ!$H3),DATE(YEAR(JR$1),MONTH(JR$1)+InfoQ!$H3,InfoQ!$I3),0)</f>
        <v>42405</v>
      </c>
      <c r="JS3" s="30"/>
      <c r="JT3" s="30"/>
      <c r="JU3" s="30">
        <f ca="1">IF(ISNUMBER(InfoQ!$H3),DATE(YEAR(JU$1),MONTH(JU$1)+InfoQ!$H3,InfoQ!$I3),0)</f>
        <v>42495</v>
      </c>
      <c r="JV3" s="30"/>
      <c r="JW3" s="30"/>
      <c r="JX3" s="30">
        <f ca="1">IF(ISNUMBER(InfoQ!$H3),DATE(YEAR(JX$1),MONTH(JX$1)+InfoQ!$H3,InfoQ!$I3),0)</f>
        <v>42587</v>
      </c>
      <c r="JY3" s="30"/>
      <c r="JZ3" s="30"/>
      <c r="KA3" s="30">
        <f ca="1">IF(ISNUMBER(InfoQ!$H3),DATE(YEAR(KA$1),MONTH(KA$1)+InfoQ!$H3,InfoQ!$I3),0)</f>
        <v>42679</v>
      </c>
      <c r="KB3" s="30"/>
      <c r="KC3" s="30"/>
      <c r="KD3" s="30">
        <f ca="1">IF(ISNUMBER(InfoQ!$H3),DATE(YEAR(KD$1),MONTH(KD$1)+InfoQ!$H3,InfoQ!$I3),0)</f>
        <v>42771</v>
      </c>
      <c r="KE3" s="30"/>
      <c r="KF3" s="30"/>
      <c r="KG3" s="30">
        <f ca="1">IF(ISNUMBER(InfoQ!$H3),DATE(YEAR(KG$1),MONTH(KG$1)+InfoQ!$H3,InfoQ!$I3),0)</f>
        <v>42860</v>
      </c>
      <c r="KH3" s="30"/>
      <c r="KI3" s="30"/>
      <c r="KJ3" s="30">
        <f ca="1">IF(ISNUMBER(InfoQ!$H3),DATE(YEAR(KJ$1),MONTH(KJ$1)+InfoQ!$H3,InfoQ!$I3),0)</f>
        <v>42952</v>
      </c>
      <c r="KK3" s="30"/>
      <c r="KL3" s="30"/>
      <c r="KM3" s="30">
        <f ca="1">IF(ISNUMBER(InfoQ!$H3),DATE(YEAR(KM$1),MONTH(KM$1)+InfoQ!$H3,InfoQ!$I3),0)</f>
        <v>43044</v>
      </c>
      <c r="KN3" s="30"/>
      <c r="KO3" s="30"/>
      <c r="KP3" s="30">
        <f ca="1">IF(ISNUMBER(InfoQ!$H3),DATE(YEAR(KP$1),MONTH(KP$1)+InfoQ!$H3,InfoQ!$I3),0)</f>
        <v>43136</v>
      </c>
      <c r="KQ3" s="30"/>
      <c r="KR3" s="30"/>
      <c r="KS3" s="30">
        <f ca="1">IF(ISNUMBER(InfoQ!$H3),DATE(YEAR(KS$1),MONTH(KS$1)+InfoQ!$H3,InfoQ!$I3),0)</f>
        <v>43225</v>
      </c>
      <c r="KT3" s="30"/>
      <c r="KU3" s="30"/>
      <c r="KV3" s="30">
        <f ca="1">IF(ISNUMBER(InfoQ!$H3),DATE(YEAR(KV$1),MONTH(KV$1)+InfoQ!$H3,InfoQ!$I3),0)</f>
        <v>43317</v>
      </c>
      <c r="KW3" s="30"/>
      <c r="KX3" s="30"/>
      <c r="KY3" s="30">
        <f ca="1">IF(ISNUMBER(InfoQ!$H3),DATE(YEAR(KY$1),MONTH(KY$1)+InfoQ!$H3,InfoQ!$I3),0)</f>
        <v>43409</v>
      </c>
      <c r="KZ3" s="30"/>
      <c r="LA3" s="30"/>
      <c r="LB3" s="30">
        <f ca="1">IF(ISNUMBER(InfoQ!$H3),DATE(YEAR(LB$1),MONTH(LB$1)+InfoQ!$H3,InfoQ!$I3),0)</f>
        <v>43501</v>
      </c>
      <c r="LC3" s="30"/>
      <c r="LD3" s="30"/>
      <c r="LE3" s="30">
        <f ca="1">IF(ISNUMBER(InfoQ!$H3),DATE(YEAR(LE$1),MONTH(LE$1)+InfoQ!$H3,InfoQ!$I3),0)</f>
        <v>43590</v>
      </c>
      <c r="LF3" s="30"/>
      <c r="LG3" s="30"/>
      <c r="LH3" s="30">
        <f ca="1">IF(ISNUMBER(InfoQ!$H3),DATE(YEAR(LH$1),MONTH(LH$1)+InfoQ!$H3,InfoQ!$I3),0)</f>
        <v>43682</v>
      </c>
      <c r="LI3" s="30"/>
      <c r="LJ3" s="30"/>
      <c r="LK3" s="30">
        <f ca="1">IF(ISNUMBER(InfoQ!$H3),DATE(YEAR(LK$1),MONTH(LK$1)+InfoQ!$H3,InfoQ!$I3),0)</f>
        <v>43774</v>
      </c>
      <c r="LL3" s="30"/>
      <c r="LM3" s="30"/>
      <c r="LN3" s="30">
        <f ca="1">IF(ISNUMBER(InfoQ!$H3),DATE(YEAR(LN$1),MONTH(LN$1)+InfoQ!$H3,InfoQ!$I3),0)</f>
        <v>43866</v>
      </c>
      <c r="LO3" s="30"/>
      <c r="LP3" s="30"/>
      <c r="LQ3" s="30">
        <f ca="1">IF(ISNUMBER(InfoQ!$H3),DATE(YEAR(LQ$1),MONTH(LQ$1)+InfoQ!$H3,InfoQ!$I3),0)</f>
        <v>43956</v>
      </c>
      <c r="LR3" s="30"/>
      <c r="LS3" s="30"/>
      <c r="LT3" s="30">
        <f ca="1">IF(ISNUMBER(InfoQ!$H3),DATE(YEAR(LT$1),MONTH(LT$1)+InfoQ!$H3,InfoQ!$I3),0)</f>
        <v>44048</v>
      </c>
      <c r="LU3" s="30"/>
      <c r="LV3" s="30"/>
      <c r="LW3" s="30">
        <f ca="1">IF(ISNUMBER(InfoQ!$H3),DATE(YEAR(LW$1),MONTH(LW$1)+InfoQ!$H3,InfoQ!$I3),0)</f>
        <v>44140</v>
      </c>
      <c r="LX3" s="30"/>
      <c r="LY3" s="30"/>
      <c r="LZ3" s="30">
        <f ca="1">IF(ISNUMBER(InfoQ!$H3),DATE(YEAR(LZ$1),MONTH(LZ$1)+InfoQ!$H3,InfoQ!$I3),0)</f>
        <v>44232</v>
      </c>
      <c r="MA3" s="30"/>
      <c r="MB3" s="30"/>
      <c r="MC3" s="30">
        <f ca="1">IF(ISNUMBER(InfoQ!$H3),DATE(YEAR(MC$1),MONTH(MC$1)+InfoQ!$H3,InfoQ!$I3),0)</f>
        <v>44321</v>
      </c>
      <c r="MD3" s="30"/>
      <c r="ME3" s="30"/>
      <c r="MF3" s="30">
        <f ca="1">IF(ISNUMBER(InfoQ!$H3),DATE(YEAR(MF$1),MONTH(MF$1)+InfoQ!$H3,InfoQ!$I3),0)</f>
        <v>44413</v>
      </c>
      <c r="MG3" s="30"/>
      <c r="MH3" s="30"/>
      <c r="MI3" s="30">
        <f ca="1">IF(ISNUMBER(InfoQ!$H3),DATE(YEAR(MI$1),MONTH(MI$1)+InfoQ!$H3,InfoQ!$I3),0)</f>
        <v>44505</v>
      </c>
      <c r="MJ3" s="30"/>
      <c r="MK3" s="30"/>
      <c r="ML3" s="30">
        <f ca="1">IF(ISNUMBER(InfoQ!$H3),DATE(YEAR(ML$1),MONTH(ML$1)+InfoQ!$H3,InfoQ!$I3),0)</f>
        <v>44597</v>
      </c>
      <c r="MM3" s="30"/>
      <c r="MN3" s="30"/>
      <c r="MO3" s="30">
        <f ca="1">IF(ISNUMBER(InfoQ!$H3),DATE(YEAR(MO$1),MONTH(MO$1)+InfoQ!$H3,InfoQ!$I3),0)</f>
        <v>44686</v>
      </c>
      <c r="MP3" s="30"/>
      <c r="MQ3" s="30"/>
      <c r="MR3" s="30">
        <f ca="1">IF(ISNUMBER(InfoQ!$H3),DATE(YEAR(MR$1),MONTH(MR$1)+InfoQ!$H3,InfoQ!$I3),0)</f>
        <v>44778</v>
      </c>
      <c r="MS3" s="30"/>
      <c r="MT3" s="30"/>
      <c r="MU3" s="30">
        <f ca="1">IF(ISNUMBER(InfoQ!$H3),DATE(YEAR(MU$1),MONTH(MU$1)+InfoQ!$H3,InfoQ!$I3),0)</f>
        <v>44870</v>
      </c>
      <c r="MV3" s="30"/>
      <c r="MW3" s="30"/>
      <c r="MX3" s="30">
        <f ca="1">IF(ISNUMBER(InfoQ!$H3),DATE(YEAR(MX$1),MONTH(MX$1)+InfoQ!$H3,InfoQ!$I3),0)</f>
        <v>44962</v>
      </c>
      <c r="MY3" s="30"/>
      <c r="MZ3" s="30"/>
      <c r="NA3" s="30">
        <f ca="1">IF(ISNUMBER(InfoQ!$H3),DATE(YEAR(NA$1),MONTH(NA$1)+InfoQ!$H3,InfoQ!$I3),0)</f>
        <v>45051</v>
      </c>
      <c r="NB3" s="30"/>
      <c r="NC3" s="30"/>
      <c r="ND3" s="30">
        <f ca="1">IF(ISNUMBER(InfoQ!$H3),DATE(YEAR(ND$1),MONTH(ND$1)+InfoQ!$H3,InfoQ!$I3),0)</f>
        <v>45143</v>
      </c>
      <c r="NE3" s="30"/>
      <c r="NF3" s="30"/>
      <c r="NG3" s="30">
        <f ca="1">IF(ISNUMBER(InfoQ!$H3),DATE(YEAR(NG$1),MONTH(NG$1)+InfoQ!$H3,InfoQ!$I3),0)</f>
        <v>45235</v>
      </c>
      <c r="NH3" s="30"/>
      <c r="NI3" s="30"/>
      <c r="NJ3" s="30">
        <f ca="1">IF(ISNUMBER(InfoQ!$H3),DATE(YEAR(NJ$1),MONTH(NJ$1)+InfoQ!$H3,InfoQ!$I3),0)</f>
        <v>45327</v>
      </c>
      <c r="NK3" s="30"/>
      <c r="NL3" s="30"/>
      <c r="NM3" s="30">
        <f ca="1">IF(ISNUMBER(InfoQ!$H3),DATE(YEAR(NM$1),MONTH(NM$1)+InfoQ!$H3,InfoQ!$I3),0)</f>
        <v>45417</v>
      </c>
      <c r="NN3" s="30"/>
      <c r="NO3" s="30"/>
      <c r="NP3" s="30">
        <f ca="1">IF(ISNUMBER(InfoQ!$H3),DATE(YEAR(NP$1),MONTH(NP$1)+InfoQ!$H3,InfoQ!$I3),0)</f>
        <v>45509</v>
      </c>
      <c r="NQ3" s="30"/>
      <c r="NR3" s="30"/>
      <c r="NS3" s="30">
        <f ca="1">IF(ISNUMBER(InfoQ!$H3),DATE(YEAR(NS$1),MONTH(NS$1)+InfoQ!$H3,InfoQ!$I3),0)</f>
        <v>45601</v>
      </c>
      <c r="NT3" s="30"/>
      <c r="NU3" s="30"/>
      <c r="NV3" s="30">
        <f ca="1">IF(ISNUMBER(InfoQ!$H3),DATE(YEAR(NV$1),MONTH(NV$1)+InfoQ!$H3,InfoQ!$I3),0)</f>
        <v>45693</v>
      </c>
      <c r="NW3" s="30"/>
      <c r="NX3" s="30"/>
      <c r="NY3" s="30">
        <f ca="1">IF(ISNUMBER(InfoQ!$H3),DATE(YEAR(NY$1),MONTH(NY$1)+InfoQ!$H3,InfoQ!$I3),0)</f>
        <v>45782</v>
      </c>
      <c r="NZ3" s="30"/>
      <c r="OA3" s="30"/>
      <c r="OB3" s="30">
        <f ca="1">IF(ISNUMBER(InfoQ!$H3),DATE(YEAR(OB$1),MONTH(OB$1)+InfoQ!$H3,InfoQ!$I3),0)</f>
        <v>45874</v>
      </c>
      <c r="OC3" s="30"/>
      <c r="OD3" s="30"/>
      <c r="OE3" s="30">
        <f ca="1">IF(ISNUMBER(InfoQ!$H3),DATE(YEAR(OE$1),MONTH(OE$1)+InfoQ!$H3,InfoQ!$I3),0)</f>
        <v>45966</v>
      </c>
      <c r="OF3" s="30"/>
      <c r="OG3" s="30"/>
      <c r="OH3" s="30">
        <f ca="1">IF(ISNUMBER(InfoQ!$H3),DATE(YEAR(OH$1),MONTH(OH$1)+InfoQ!$H3,InfoQ!$I3),0)</f>
        <v>46058</v>
      </c>
      <c r="OI3" s="30"/>
      <c r="OJ3" s="30"/>
      <c r="OK3" s="30">
        <f ca="1">IF(ISNUMBER(InfoQ!$H3),DATE(YEAR(OK$1),MONTH(OK$1)+InfoQ!$H3,InfoQ!$I3),0)</f>
        <v>46147</v>
      </c>
      <c r="OL3" s="30"/>
      <c r="OM3" s="30"/>
      <c r="ON3" s="30">
        <f ca="1">IF(ISNUMBER(InfoQ!$H3),DATE(YEAR(ON$1),MONTH(ON$1)+InfoQ!$H3,InfoQ!$I3),0)</f>
        <v>46239</v>
      </c>
      <c r="OO3" s="30"/>
      <c r="OP3" s="30"/>
      <c r="OQ3" s="30">
        <f ca="1">IF(ISNUMBER(InfoQ!$H3),DATE(YEAR(OQ$1),MONTH(OQ$1)+InfoQ!$H3,InfoQ!$I3),0)</f>
        <v>46331</v>
      </c>
      <c r="OR3" s="30"/>
      <c r="OS3" s="30"/>
      <c r="OT3" s="30">
        <f ca="1">IF(ISNUMBER(InfoQ!$H3),DATE(YEAR(OT$1),MONTH(OT$1)+InfoQ!$H3,InfoQ!$I3),0)</f>
        <v>46423</v>
      </c>
    </row>
    <row r="4" spans="1:410" x14ac:dyDescent="0.35">
      <c r="A4" t="str">
        <f>InfoQ!A4</f>
        <v>Bus_Act</v>
      </c>
      <c r="B4" s="34">
        <f>InfoQ!G4</f>
        <v>1</v>
      </c>
      <c r="C4" s="30"/>
      <c r="D4" s="30"/>
      <c r="E4" s="30">
        <f ca="1">IF(ISNUMBER(InfoQ!$H4),DATE(YEAR(E$1),MONTH(E$1)+InfoQ!$H4,InfoQ!$I4),0)</f>
        <v>34076</v>
      </c>
      <c r="F4" s="30"/>
      <c r="G4" s="30"/>
      <c r="H4" s="30">
        <f ca="1">IF(ISNUMBER(InfoQ!$H4),DATE(YEAR(H$1),MONTH(H$1)+InfoQ!$H4,InfoQ!$I4),0)</f>
        <v>34167</v>
      </c>
      <c r="I4" s="30"/>
      <c r="J4" s="30"/>
      <c r="K4" s="30">
        <f ca="1">IF(ISNUMBER(InfoQ!$H4),DATE(YEAR(K$1),MONTH(K$1)+InfoQ!$H4,InfoQ!$I4),0)</f>
        <v>34259</v>
      </c>
      <c r="L4" s="30"/>
      <c r="M4" s="30"/>
      <c r="N4" s="30">
        <f ca="1">IF(ISNUMBER(InfoQ!$H4),DATE(YEAR(N$1),MONTH(N$1)+InfoQ!$H4,InfoQ!$I4),0)</f>
        <v>34351</v>
      </c>
      <c r="O4" s="30"/>
      <c r="P4" s="30"/>
      <c r="Q4" s="30">
        <f ca="1">IF(ISNUMBER(InfoQ!$H4),DATE(YEAR(Q$1),MONTH(Q$1)+InfoQ!$H4,InfoQ!$I4),0)</f>
        <v>34441</v>
      </c>
      <c r="R4" s="30"/>
      <c r="S4" s="30"/>
      <c r="T4" s="30">
        <f ca="1">IF(ISNUMBER(InfoQ!$H4),DATE(YEAR(T$1),MONTH(T$1)+InfoQ!$H4,InfoQ!$I4),0)</f>
        <v>34532</v>
      </c>
      <c r="U4" s="30"/>
      <c r="V4" s="30"/>
      <c r="W4" s="30">
        <f ca="1">IF(ISNUMBER(InfoQ!$H4),DATE(YEAR(W$1),MONTH(W$1)+InfoQ!$H4,InfoQ!$I4),0)</f>
        <v>34624</v>
      </c>
      <c r="X4" s="30"/>
      <c r="Y4" s="30"/>
      <c r="Z4" s="30">
        <f ca="1">IF(ISNUMBER(InfoQ!$H4),DATE(YEAR(Z$1),MONTH(Z$1)+InfoQ!$H4,InfoQ!$I4),0)</f>
        <v>34716</v>
      </c>
      <c r="AA4" s="30"/>
      <c r="AB4" s="30"/>
      <c r="AC4" s="30">
        <f ca="1">IF(ISNUMBER(InfoQ!$H4),DATE(YEAR(AC$1),MONTH(AC$1)+InfoQ!$H4,InfoQ!$I4),0)</f>
        <v>34806</v>
      </c>
      <c r="AD4" s="30"/>
      <c r="AE4" s="30"/>
      <c r="AF4" s="30">
        <f ca="1">IF(ISNUMBER(InfoQ!$H4),DATE(YEAR(AF$1),MONTH(AF$1)+InfoQ!$H4,InfoQ!$I4),0)</f>
        <v>34897</v>
      </c>
      <c r="AG4" s="30"/>
      <c r="AH4" s="30"/>
      <c r="AI4" s="30">
        <f ca="1">IF(ISNUMBER(InfoQ!$H4),DATE(YEAR(AI$1),MONTH(AI$1)+InfoQ!$H4,InfoQ!$I4),0)</f>
        <v>34989</v>
      </c>
      <c r="AJ4" s="30"/>
      <c r="AK4" s="30"/>
      <c r="AL4" s="30">
        <f ca="1">IF(ISNUMBER(InfoQ!$H4),DATE(YEAR(AL$1),MONTH(AL$1)+InfoQ!$H4,InfoQ!$I4),0)</f>
        <v>35081</v>
      </c>
      <c r="AM4" s="30"/>
      <c r="AN4" s="30"/>
      <c r="AO4" s="30">
        <f ca="1">IF(ISNUMBER(InfoQ!$H4),DATE(YEAR(AO$1),MONTH(AO$1)+InfoQ!$H4,InfoQ!$I4),0)</f>
        <v>35172</v>
      </c>
      <c r="AP4" s="30"/>
      <c r="AQ4" s="30"/>
      <c r="AR4" s="30">
        <f ca="1">IF(ISNUMBER(InfoQ!$H4),DATE(YEAR(AR$1),MONTH(AR$1)+InfoQ!$H4,InfoQ!$I4),0)</f>
        <v>35263</v>
      </c>
      <c r="AS4" s="30"/>
      <c r="AT4" s="30"/>
      <c r="AU4" s="30">
        <f ca="1">IF(ISNUMBER(InfoQ!$H4),DATE(YEAR(AU$1),MONTH(AU$1)+InfoQ!$H4,InfoQ!$I4),0)</f>
        <v>35355</v>
      </c>
      <c r="AV4" s="30"/>
      <c r="AW4" s="30"/>
      <c r="AX4" s="30">
        <f ca="1">IF(ISNUMBER(InfoQ!$H4),DATE(YEAR(AX$1),MONTH(AX$1)+InfoQ!$H4,InfoQ!$I4),0)</f>
        <v>35447</v>
      </c>
      <c r="AY4" s="30"/>
      <c r="AZ4" s="30"/>
      <c r="BA4" s="30">
        <f ca="1">IF(ISNUMBER(InfoQ!$H4),DATE(YEAR(BA$1),MONTH(BA$1)+InfoQ!$H4,InfoQ!$I4),0)</f>
        <v>35537</v>
      </c>
      <c r="BB4" s="30"/>
      <c r="BC4" s="30"/>
      <c r="BD4" s="30">
        <f ca="1">IF(ISNUMBER(InfoQ!$H4),DATE(YEAR(BD$1),MONTH(BD$1)+InfoQ!$H4,InfoQ!$I4),0)</f>
        <v>35628</v>
      </c>
      <c r="BE4" s="30"/>
      <c r="BF4" s="30"/>
      <c r="BG4" s="30">
        <f ca="1">IF(ISNUMBER(InfoQ!$H4),DATE(YEAR(BG$1),MONTH(BG$1)+InfoQ!$H4,InfoQ!$I4),0)</f>
        <v>35720</v>
      </c>
      <c r="BH4" s="30"/>
      <c r="BI4" s="30"/>
      <c r="BJ4" s="30">
        <f ca="1">IF(ISNUMBER(InfoQ!$H4),DATE(YEAR(BJ$1),MONTH(BJ$1)+InfoQ!$H4,InfoQ!$I4),0)</f>
        <v>35812</v>
      </c>
      <c r="BK4" s="30"/>
      <c r="BL4" s="30"/>
      <c r="BM4" s="30">
        <f ca="1">IF(ISNUMBER(InfoQ!$H4),DATE(YEAR(BM$1),MONTH(BM$1)+InfoQ!$H4,InfoQ!$I4),0)</f>
        <v>35902</v>
      </c>
      <c r="BN4" s="30"/>
      <c r="BO4" s="30"/>
      <c r="BP4" s="30">
        <f ca="1">IF(ISNUMBER(InfoQ!$H4),DATE(YEAR(BP$1),MONTH(BP$1)+InfoQ!$H4,InfoQ!$I4),0)</f>
        <v>35993</v>
      </c>
      <c r="BQ4" s="30"/>
      <c r="BR4" s="30"/>
      <c r="BS4" s="30">
        <f ca="1">IF(ISNUMBER(InfoQ!$H4),DATE(YEAR(BS$1),MONTH(BS$1)+InfoQ!$H4,InfoQ!$I4),0)</f>
        <v>36085</v>
      </c>
      <c r="BT4" s="30"/>
      <c r="BU4" s="30"/>
      <c r="BV4" s="30">
        <f ca="1">IF(ISNUMBER(InfoQ!$H4),DATE(YEAR(BV$1),MONTH(BV$1)+InfoQ!$H4,InfoQ!$I4),0)</f>
        <v>36177</v>
      </c>
      <c r="BW4" s="30"/>
      <c r="BX4" s="30"/>
      <c r="BY4" s="30">
        <f ca="1">IF(ISNUMBER(InfoQ!$H4),DATE(YEAR(BY$1),MONTH(BY$1)+InfoQ!$H4,InfoQ!$I4),0)</f>
        <v>36267</v>
      </c>
      <c r="BZ4" s="30"/>
      <c r="CA4" s="30"/>
      <c r="CB4" s="30">
        <f ca="1">IF(ISNUMBER(InfoQ!$H4),DATE(YEAR(CB$1),MONTH(CB$1)+InfoQ!$H4,InfoQ!$I4),0)</f>
        <v>36358</v>
      </c>
      <c r="CC4" s="30"/>
      <c r="CD4" s="30"/>
      <c r="CE4" s="30">
        <f ca="1">IF(ISNUMBER(InfoQ!$H4),DATE(YEAR(CE$1),MONTH(CE$1)+InfoQ!$H4,InfoQ!$I4),0)</f>
        <v>36450</v>
      </c>
      <c r="CF4" s="30"/>
      <c r="CG4" s="30"/>
      <c r="CH4" s="30">
        <f ca="1">IF(ISNUMBER(InfoQ!$H4),DATE(YEAR(CH$1),MONTH(CH$1)+InfoQ!$H4,InfoQ!$I4),0)</f>
        <v>36542</v>
      </c>
      <c r="CI4" s="30"/>
      <c r="CJ4" s="30"/>
      <c r="CK4" s="30">
        <f ca="1">IF(ISNUMBER(InfoQ!$H4),DATE(YEAR(CK$1),MONTH(CK$1)+InfoQ!$H4,InfoQ!$I4),0)</f>
        <v>36633</v>
      </c>
      <c r="CL4" s="30"/>
      <c r="CM4" s="30"/>
      <c r="CN4" s="30">
        <f ca="1">IF(ISNUMBER(InfoQ!$H4),DATE(YEAR(CN$1),MONTH(CN$1)+InfoQ!$H4,InfoQ!$I4),0)</f>
        <v>36724</v>
      </c>
      <c r="CO4" s="30"/>
      <c r="CP4" s="30"/>
      <c r="CQ4" s="30">
        <f ca="1">IF(ISNUMBER(InfoQ!$H4),DATE(YEAR(CQ$1),MONTH(CQ$1)+InfoQ!$H4,InfoQ!$I4),0)</f>
        <v>36816</v>
      </c>
      <c r="CR4" s="30"/>
      <c r="CS4" s="30"/>
      <c r="CT4" s="30">
        <f ca="1">IF(ISNUMBER(InfoQ!$H4),DATE(YEAR(CT$1),MONTH(CT$1)+InfoQ!$H4,InfoQ!$I4),0)</f>
        <v>36908</v>
      </c>
      <c r="CU4" s="30"/>
      <c r="CV4" s="30"/>
      <c r="CW4" s="30">
        <f ca="1">IF(ISNUMBER(InfoQ!$H4),DATE(YEAR(CW$1),MONTH(CW$1)+InfoQ!$H4,InfoQ!$I4),0)</f>
        <v>36998</v>
      </c>
      <c r="CX4" s="30"/>
      <c r="CY4" s="30"/>
      <c r="CZ4" s="30">
        <f ca="1">IF(ISNUMBER(InfoQ!$H4),DATE(YEAR(CZ$1),MONTH(CZ$1)+InfoQ!$H4,InfoQ!$I4),0)</f>
        <v>37089</v>
      </c>
      <c r="DA4" s="30"/>
      <c r="DB4" s="30"/>
      <c r="DC4" s="30">
        <f ca="1">IF(ISNUMBER(InfoQ!$H4),DATE(YEAR(DC$1),MONTH(DC$1)+InfoQ!$H4,InfoQ!$I4),0)</f>
        <v>37181</v>
      </c>
      <c r="DD4" s="30"/>
      <c r="DE4" s="30"/>
      <c r="DF4" s="30">
        <f ca="1">IF(ISNUMBER(InfoQ!$H4),DATE(YEAR(DF$1),MONTH(DF$1)+InfoQ!$H4,InfoQ!$I4),0)</f>
        <v>37273</v>
      </c>
      <c r="DG4" s="30"/>
      <c r="DH4" s="30"/>
      <c r="DI4" s="30">
        <f ca="1">IF(ISNUMBER(InfoQ!$H4),DATE(YEAR(DI$1),MONTH(DI$1)+InfoQ!$H4,InfoQ!$I4),0)</f>
        <v>37363</v>
      </c>
      <c r="DJ4" s="30"/>
      <c r="DK4" s="30"/>
      <c r="DL4" s="30">
        <f ca="1">IF(ISNUMBER(InfoQ!$H4),DATE(YEAR(DL$1),MONTH(DL$1)+InfoQ!$H4,InfoQ!$I4),0)</f>
        <v>37454</v>
      </c>
      <c r="DM4" s="30"/>
      <c r="DN4" s="30"/>
      <c r="DO4" s="30">
        <f ca="1">IF(ISNUMBER(InfoQ!$H4),DATE(YEAR(DO$1),MONTH(DO$1)+InfoQ!$H4,InfoQ!$I4),0)</f>
        <v>37546</v>
      </c>
      <c r="DP4" s="30"/>
      <c r="DQ4" s="30"/>
      <c r="DR4" s="30">
        <f ca="1">IF(ISNUMBER(InfoQ!$H4),DATE(YEAR(DR$1),MONTH(DR$1)+InfoQ!$H4,InfoQ!$I4),0)</f>
        <v>37638</v>
      </c>
      <c r="DS4" s="30"/>
      <c r="DT4" s="30"/>
      <c r="DU4" s="30">
        <f ca="1">IF(ISNUMBER(InfoQ!$H4),DATE(YEAR(DU$1),MONTH(DU$1)+InfoQ!$H4,InfoQ!$I4),0)</f>
        <v>37728</v>
      </c>
      <c r="DV4" s="30"/>
      <c r="DW4" s="30"/>
      <c r="DX4" s="30">
        <f ca="1">IF(ISNUMBER(InfoQ!$H4),DATE(YEAR(DX$1),MONTH(DX$1)+InfoQ!$H4,InfoQ!$I4),0)</f>
        <v>37819</v>
      </c>
      <c r="DY4" s="30"/>
      <c r="DZ4" s="30"/>
      <c r="EA4" s="30">
        <f ca="1">IF(ISNUMBER(InfoQ!$H4),DATE(YEAR(EA$1),MONTH(EA$1)+InfoQ!$H4,InfoQ!$I4),0)</f>
        <v>37911</v>
      </c>
      <c r="EB4" s="30"/>
      <c r="EC4" s="30"/>
      <c r="ED4" s="30">
        <f ca="1">IF(ISNUMBER(InfoQ!$H4),DATE(YEAR(ED$1),MONTH(ED$1)+InfoQ!$H4,InfoQ!$I4),0)</f>
        <v>38003</v>
      </c>
      <c r="EE4" s="30"/>
      <c r="EF4" s="30"/>
      <c r="EG4" s="30">
        <f ca="1">IF(ISNUMBER(InfoQ!$H4),DATE(YEAR(EG$1),MONTH(EG$1)+InfoQ!$H4,InfoQ!$I4),0)</f>
        <v>38094</v>
      </c>
      <c r="EH4" s="30"/>
      <c r="EI4" s="30"/>
      <c r="EJ4" s="30">
        <f ca="1">IF(ISNUMBER(InfoQ!$H4),DATE(YEAR(EJ$1),MONTH(EJ$1)+InfoQ!$H4,InfoQ!$I4),0)</f>
        <v>38185</v>
      </c>
      <c r="EK4" s="30"/>
      <c r="EL4" s="30"/>
      <c r="EM4" s="30">
        <f ca="1">IF(ISNUMBER(InfoQ!$H4),DATE(YEAR(EM$1),MONTH(EM$1)+InfoQ!$H4,InfoQ!$I4),0)</f>
        <v>38277</v>
      </c>
      <c r="EN4" s="30"/>
      <c r="EO4" s="30"/>
      <c r="EP4" s="30">
        <f ca="1">IF(ISNUMBER(InfoQ!$H4),DATE(YEAR(EP$1),MONTH(EP$1)+InfoQ!$H4,InfoQ!$I4),0)</f>
        <v>38369</v>
      </c>
      <c r="EQ4" s="30"/>
      <c r="ER4" s="30"/>
      <c r="ES4" s="30">
        <f ca="1">IF(ISNUMBER(InfoQ!$H4),DATE(YEAR(ES$1),MONTH(ES$1)+InfoQ!$H4,InfoQ!$I4),0)</f>
        <v>38459</v>
      </c>
      <c r="ET4" s="30"/>
      <c r="EU4" s="30"/>
      <c r="EV4" s="30">
        <f ca="1">IF(ISNUMBER(InfoQ!$H4),DATE(YEAR(EV$1),MONTH(EV$1)+InfoQ!$H4,InfoQ!$I4),0)</f>
        <v>38550</v>
      </c>
      <c r="EW4" s="30"/>
      <c r="EX4" s="30"/>
      <c r="EY4" s="30">
        <f ca="1">IF(ISNUMBER(InfoQ!$H4),DATE(YEAR(EY$1),MONTH(EY$1)+InfoQ!$H4,InfoQ!$I4),0)</f>
        <v>38642</v>
      </c>
      <c r="EZ4" s="30"/>
      <c r="FA4" s="30"/>
      <c r="FB4" s="30">
        <f ca="1">IF(ISNUMBER(InfoQ!$H4),DATE(YEAR(FB$1),MONTH(FB$1)+InfoQ!$H4,InfoQ!$I4),0)</f>
        <v>38734</v>
      </c>
      <c r="FC4" s="30"/>
      <c r="FD4" s="30"/>
      <c r="FE4" s="30">
        <f ca="1">IF(ISNUMBER(InfoQ!$H4),DATE(YEAR(FE$1),MONTH(FE$1)+InfoQ!$H4,InfoQ!$I4),0)</f>
        <v>38824</v>
      </c>
      <c r="FF4" s="30"/>
      <c r="FG4" s="30"/>
      <c r="FH4" s="30">
        <f ca="1">IF(ISNUMBER(InfoQ!$H4),DATE(YEAR(FH$1),MONTH(FH$1)+InfoQ!$H4,InfoQ!$I4),0)</f>
        <v>38915</v>
      </c>
      <c r="FI4" s="30"/>
      <c r="FJ4" s="30"/>
      <c r="FK4" s="30">
        <f ca="1">IF(ISNUMBER(InfoQ!$H4),DATE(YEAR(FK$1),MONTH(FK$1)+InfoQ!$H4,InfoQ!$I4),0)</f>
        <v>39007</v>
      </c>
      <c r="FL4" s="30"/>
      <c r="FM4" s="30"/>
      <c r="FN4" s="30">
        <f ca="1">IF(ISNUMBER(InfoQ!$H4),DATE(YEAR(FN$1),MONTH(FN$1)+InfoQ!$H4,InfoQ!$I4),0)</f>
        <v>39099</v>
      </c>
      <c r="FO4" s="30"/>
      <c r="FP4" s="30"/>
      <c r="FQ4" s="30">
        <f ca="1">IF(ISNUMBER(InfoQ!$H4),DATE(YEAR(FQ$1),MONTH(FQ$1)+InfoQ!$H4,InfoQ!$I4),0)</f>
        <v>39189</v>
      </c>
      <c r="FR4" s="30"/>
      <c r="FS4" s="30"/>
      <c r="FT4" s="30">
        <f ca="1">IF(ISNUMBER(InfoQ!$H4),DATE(YEAR(FT$1),MONTH(FT$1)+InfoQ!$H4,InfoQ!$I4),0)</f>
        <v>39280</v>
      </c>
      <c r="FU4" s="30"/>
      <c r="FV4" s="30"/>
      <c r="FW4" s="30">
        <f ca="1">IF(ISNUMBER(InfoQ!$H4),DATE(YEAR(FW$1),MONTH(FW$1)+InfoQ!$H4,InfoQ!$I4),0)</f>
        <v>39372</v>
      </c>
      <c r="FX4" s="30"/>
      <c r="FY4" s="30"/>
      <c r="FZ4" s="30">
        <f ca="1">IF(ISNUMBER(InfoQ!$H4),DATE(YEAR(FZ$1),MONTH(FZ$1)+InfoQ!$H4,InfoQ!$I4),0)</f>
        <v>39464</v>
      </c>
      <c r="GA4" s="30"/>
      <c r="GB4" s="30"/>
      <c r="GC4" s="30">
        <f ca="1">IF(ISNUMBER(InfoQ!$H4),DATE(YEAR(GC$1),MONTH(GC$1)+InfoQ!$H4,InfoQ!$I4),0)</f>
        <v>39555</v>
      </c>
      <c r="GD4" s="30"/>
      <c r="GE4" s="30"/>
      <c r="GF4" s="30">
        <f ca="1">IF(ISNUMBER(InfoQ!$H4),DATE(YEAR(GF$1),MONTH(GF$1)+InfoQ!$H4,InfoQ!$I4),0)</f>
        <v>39646</v>
      </c>
      <c r="GG4" s="30"/>
      <c r="GH4" s="30"/>
      <c r="GI4" s="30">
        <f ca="1">IF(ISNUMBER(InfoQ!$H4),DATE(YEAR(GI$1),MONTH(GI$1)+InfoQ!$H4,InfoQ!$I4),0)</f>
        <v>39738</v>
      </c>
      <c r="GJ4" s="30"/>
      <c r="GK4" s="30"/>
      <c r="GL4" s="30">
        <f ca="1">IF(ISNUMBER(InfoQ!$H4),DATE(YEAR(GL$1),MONTH(GL$1)+InfoQ!$H4,InfoQ!$I4),0)</f>
        <v>39830</v>
      </c>
      <c r="GM4" s="30"/>
      <c r="GN4" s="30"/>
      <c r="GO4" s="30">
        <f ca="1">IF(ISNUMBER(InfoQ!$H4),DATE(YEAR(GO$1),MONTH(GO$1)+InfoQ!$H4,InfoQ!$I4),0)</f>
        <v>39920</v>
      </c>
      <c r="GP4" s="30"/>
      <c r="GQ4" s="30"/>
      <c r="GR4" s="30">
        <f ca="1">IF(ISNUMBER(InfoQ!$H4),DATE(YEAR(GR$1),MONTH(GR$1)+InfoQ!$H4,InfoQ!$I4),0)</f>
        <v>40011</v>
      </c>
      <c r="GS4" s="30"/>
      <c r="GT4" s="30"/>
      <c r="GU4" s="30">
        <f ca="1">IF(ISNUMBER(InfoQ!$H4),DATE(YEAR(GU$1),MONTH(GU$1)+InfoQ!$H4,InfoQ!$I4),0)</f>
        <v>40103</v>
      </c>
      <c r="GV4" s="30"/>
      <c r="GW4" s="30"/>
      <c r="GX4" s="30">
        <f ca="1">IF(ISNUMBER(InfoQ!$H4),DATE(YEAR(GX$1),MONTH(GX$1)+InfoQ!$H4,InfoQ!$I4),0)</f>
        <v>40195</v>
      </c>
      <c r="GY4" s="30"/>
      <c r="GZ4" s="30"/>
      <c r="HA4" s="30">
        <f ca="1">IF(ISNUMBER(InfoQ!$H4),DATE(YEAR(HA$1),MONTH(HA$1)+InfoQ!$H4,InfoQ!$I4),0)</f>
        <v>40285</v>
      </c>
      <c r="HB4" s="30"/>
      <c r="HC4" s="30"/>
      <c r="HD4" s="30">
        <f ca="1">IF(ISNUMBER(InfoQ!$H4),DATE(YEAR(HD$1),MONTH(HD$1)+InfoQ!$H4,InfoQ!$I4),0)</f>
        <v>40376</v>
      </c>
      <c r="HE4" s="30"/>
      <c r="HF4" s="30"/>
      <c r="HG4" s="30">
        <f ca="1">IF(ISNUMBER(InfoQ!$H4),DATE(YEAR(HG$1),MONTH(HG$1)+InfoQ!$H4,InfoQ!$I4),0)</f>
        <v>40468</v>
      </c>
      <c r="HH4" s="30"/>
      <c r="HI4" s="30"/>
      <c r="HJ4" s="30">
        <f ca="1">IF(ISNUMBER(InfoQ!$H4),DATE(YEAR(HJ$1),MONTH(HJ$1)+InfoQ!$H4,InfoQ!$I4),0)</f>
        <v>40560</v>
      </c>
      <c r="HK4" s="30"/>
      <c r="HL4" s="30"/>
      <c r="HM4" s="30">
        <f ca="1">IF(ISNUMBER(InfoQ!$H4),DATE(YEAR(HM$1),MONTH(HM$1)+InfoQ!$H4,InfoQ!$I4),0)</f>
        <v>40650</v>
      </c>
      <c r="HN4" s="30"/>
      <c r="HO4" s="30"/>
      <c r="HP4" s="30">
        <f ca="1">IF(ISNUMBER(InfoQ!$H4),DATE(YEAR(HP$1),MONTH(HP$1)+InfoQ!$H4,InfoQ!$I4),0)</f>
        <v>40741</v>
      </c>
      <c r="HQ4" s="30"/>
      <c r="HR4" s="30"/>
      <c r="HS4" s="30">
        <f ca="1">IF(ISNUMBER(InfoQ!$H4),DATE(YEAR(HS$1),MONTH(HS$1)+InfoQ!$H4,InfoQ!$I4),0)</f>
        <v>40833</v>
      </c>
      <c r="HT4" s="30"/>
      <c r="HU4" s="30"/>
      <c r="HV4" s="30">
        <f ca="1">IF(ISNUMBER(InfoQ!$H4),DATE(YEAR(HV$1),MONTH(HV$1)+InfoQ!$H4,InfoQ!$I4),0)</f>
        <v>40925</v>
      </c>
      <c r="HW4" s="30"/>
      <c r="HX4" s="30"/>
      <c r="HY4" s="30">
        <f ca="1">IF(ISNUMBER(InfoQ!$H4),DATE(YEAR(HY$1),MONTH(HY$1)+InfoQ!$H4,InfoQ!$I4),0)</f>
        <v>41016</v>
      </c>
      <c r="HZ4" s="30"/>
      <c r="IA4" s="30"/>
      <c r="IB4" s="30">
        <f ca="1">IF(ISNUMBER(InfoQ!$H4),DATE(YEAR(IB$1),MONTH(IB$1)+InfoQ!$H4,InfoQ!$I4),0)</f>
        <v>41107</v>
      </c>
      <c r="IC4" s="30"/>
      <c r="ID4" s="30"/>
      <c r="IE4" s="30">
        <f ca="1">IF(ISNUMBER(InfoQ!$H4),DATE(YEAR(IE$1),MONTH(IE$1)+InfoQ!$H4,InfoQ!$I4),0)</f>
        <v>41199</v>
      </c>
      <c r="IF4" s="30"/>
      <c r="IG4" s="30"/>
      <c r="IH4" s="30">
        <f ca="1">IF(ISNUMBER(InfoQ!$H4),DATE(YEAR(IH$1),MONTH(IH$1)+InfoQ!$H4,InfoQ!$I4),0)</f>
        <v>41291</v>
      </c>
      <c r="II4" s="30"/>
      <c r="IJ4" s="30"/>
      <c r="IK4" s="30">
        <f ca="1">IF(ISNUMBER(InfoQ!$H4),DATE(YEAR(IK$1),MONTH(IK$1)+InfoQ!$H4,InfoQ!$I4),0)</f>
        <v>41381</v>
      </c>
      <c r="IL4" s="30"/>
      <c r="IM4" s="30"/>
      <c r="IN4" s="30">
        <f ca="1">IF(ISNUMBER(InfoQ!$H4),DATE(YEAR(IN$1),MONTH(IN$1)+InfoQ!$H4,InfoQ!$I4),0)</f>
        <v>41472</v>
      </c>
      <c r="IO4" s="30"/>
      <c r="IP4" s="30"/>
      <c r="IQ4" s="30">
        <f ca="1">IF(ISNUMBER(InfoQ!$H4),DATE(YEAR(IQ$1),MONTH(IQ$1)+InfoQ!$H4,InfoQ!$I4),0)</f>
        <v>41564</v>
      </c>
      <c r="IR4" s="30"/>
      <c r="IS4" s="30"/>
      <c r="IT4" s="30">
        <f ca="1">IF(ISNUMBER(InfoQ!$H4),DATE(YEAR(IT$1),MONTH(IT$1)+InfoQ!$H4,InfoQ!$I4),0)</f>
        <v>41656</v>
      </c>
      <c r="IU4" s="30"/>
      <c r="IV4" s="30"/>
      <c r="IW4" s="30">
        <f ca="1">IF(ISNUMBER(InfoQ!$H4),DATE(YEAR(IW$1),MONTH(IW$1)+InfoQ!$H4,InfoQ!$I4),0)</f>
        <v>41746</v>
      </c>
      <c r="IX4" s="30"/>
      <c r="IY4" s="30"/>
      <c r="IZ4" s="30">
        <f ca="1">IF(ISNUMBER(InfoQ!$H4),DATE(YEAR(IZ$1),MONTH(IZ$1)+InfoQ!$H4,InfoQ!$I4),0)</f>
        <v>41837</v>
      </c>
      <c r="JA4" s="30"/>
      <c r="JB4" s="30"/>
      <c r="JC4" s="30">
        <f ca="1">IF(ISNUMBER(InfoQ!$H4),DATE(YEAR(JC$1),MONTH(JC$1)+InfoQ!$H4,InfoQ!$I4),0)</f>
        <v>41929</v>
      </c>
      <c r="JD4" s="30"/>
      <c r="JE4" s="30"/>
      <c r="JF4" s="30">
        <f ca="1">IF(ISNUMBER(InfoQ!$H4),DATE(YEAR(JF$1),MONTH(JF$1)+InfoQ!$H4,InfoQ!$I4),0)</f>
        <v>42021</v>
      </c>
      <c r="JG4" s="30"/>
      <c r="JH4" s="30"/>
      <c r="JI4" s="30">
        <f ca="1">IF(ISNUMBER(InfoQ!$H4),DATE(YEAR(JI$1),MONTH(JI$1)+InfoQ!$H4,InfoQ!$I4),0)</f>
        <v>42111</v>
      </c>
      <c r="JJ4" s="30"/>
      <c r="JK4" s="30"/>
      <c r="JL4" s="30">
        <f ca="1">IF(ISNUMBER(InfoQ!$H4),DATE(YEAR(JL$1),MONTH(JL$1)+InfoQ!$H4,InfoQ!$I4),0)</f>
        <v>42202</v>
      </c>
      <c r="JM4" s="30"/>
      <c r="JN4" s="30"/>
      <c r="JO4" s="30">
        <f ca="1">IF(ISNUMBER(InfoQ!$H4),DATE(YEAR(JO$1),MONTH(JO$1)+InfoQ!$H4,InfoQ!$I4),0)</f>
        <v>42294</v>
      </c>
      <c r="JP4" s="30"/>
      <c r="JQ4" s="30"/>
      <c r="JR4" s="30">
        <f ca="1">IF(ISNUMBER(InfoQ!$H4),DATE(YEAR(JR$1),MONTH(JR$1)+InfoQ!$H4,InfoQ!$I4),0)</f>
        <v>42386</v>
      </c>
      <c r="JS4" s="30"/>
      <c r="JT4" s="30"/>
      <c r="JU4" s="30">
        <f ca="1">IF(ISNUMBER(InfoQ!$H4),DATE(YEAR(JU$1),MONTH(JU$1)+InfoQ!$H4,InfoQ!$I4),0)</f>
        <v>42477</v>
      </c>
      <c r="JV4" s="30"/>
      <c r="JW4" s="30"/>
      <c r="JX4" s="30">
        <f ca="1">IF(ISNUMBER(InfoQ!$H4),DATE(YEAR(JX$1),MONTH(JX$1)+InfoQ!$H4,InfoQ!$I4),0)</f>
        <v>42568</v>
      </c>
      <c r="JY4" s="30"/>
      <c r="JZ4" s="30"/>
      <c r="KA4" s="30">
        <f ca="1">IF(ISNUMBER(InfoQ!$H4),DATE(YEAR(KA$1),MONTH(KA$1)+InfoQ!$H4,InfoQ!$I4),0)</f>
        <v>42660</v>
      </c>
      <c r="KB4" s="30"/>
      <c r="KC4" s="30"/>
      <c r="KD4" s="30">
        <f ca="1">IF(ISNUMBER(InfoQ!$H4),DATE(YEAR(KD$1),MONTH(KD$1)+InfoQ!$H4,InfoQ!$I4),0)</f>
        <v>42752</v>
      </c>
      <c r="KE4" s="30"/>
      <c r="KF4" s="30"/>
      <c r="KG4" s="30">
        <f ca="1">IF(ISNUMBER(InfoQ!$H4),DATE(YEAR(KG$1),MONTH(KG$1)+InfoQ!$H4,InfoQ!$I4),0)</f>
        <v>42842</v>
      </c>
      <c r="KH4" s="30"/>
      <c r="KI4" s="30"/>
      <c r="KJ4" s="30">
        <f ca="1">IF(ISNUMBER(InfoQ!$H4),DATE(YEAR(KJ$1),MONTH(KJ$1)+InfoQ!$H4,InfoQ!$I4),0)</f>
        <v>42933</v>
      </c>
      <c r="KK4" s="30"/>
      <c r="KL4" s="30"/>
      <c r="KM4" s="30">
        <f ca="1">IF(ISNUMBER(InfoQ!$H4),DATE(YEAR(KM$1),MONTH(KM$1)+InfoQ!$H4,InfoQ!$I4),0)</f>
        <v>43025</v>
      </c>
      <c r="KN4" s="30"/>
      <c r="KO4" s="30"/>
      <c r="KP4" s="30">
        <f ca="1">IF(ISNUMBER(InfoQ!$H4),DATE(YEAR(KP$1),MONTH(KP$1)+InfoQ!$H4,InfoQ!$I4),0)</f>
        <v>43117</v>
      </c>
      <c r="KQ4" s="30"/>
      <c r="KR4" s="30"/>
      <c r="KS4" s="30">
        <f ca="1">IF(ISNUMBER(InfoQ!$H4),DATE(YEAR(KS$1),MONTH(KS$1)+InfoQ!$H4,InfoQ!$I4),0)</f>
        <v>43207</v>
      </c>
      <c r="KT4" s="30"/>
      <c r="KU4" s="30"/>
      <c r="KV4" s="30">
        <f ca="1">IF(ISNUMBER(InfoQ!$H4),DATE(YEAR(KV$1),MONTH(KV$1)+InfoQ!$H4,InfoQ!$I4),0)</f>
        <v>43298</v>
      </c>
      <c r="KW4" s="30"/>
      <c r="KX4" s="30"/>
      <c r="KY4" s="30">
        <f ca="1">IF(ISNUMBER(InfoQ!$H4),DATE(YEAR(KY$1),MONTH(KY$1)+InfoQ!$H4,InfoQ!$I4),0)</f>
        <v>43390</v>
      </c>
      <c r="KZ4" s="30"/>
      <c r="LA4" s="30"/>
      <c r="LB4" s="30">
        <f ca="1">IF(ISNUMBER(InfoQ!$H4),DATE(YEAR(LB$1),MONTH(LB$1)+InfoQ!$H4,InfoQ!$I4),0)</f>
        <v>43482</v>
      </c>
      <c r="LC4" s="30"/>
      <c r="LD4" s="30"/>
      <c r="LE4" s="30">
        <f ca="1">IF(ISNUMBER(InfoQ!$H4),DATE(YEAR(LE$1),MONTH(LE$1)+InfoQ!$H4,InfoQ!$I4),0)</f>
        <v>43572</v>
      </c>
      <c r="LF4" s="30"/>
      <c r="LG4" s="30"/>
      <c r="LH4" s="30">
        <f ca="1">IF(ISNUMBER(InfoQ!$H4),DATE(YEAR(LH$1),MONTH(LH$1)+InfoQ!$H4,InfoQ!$I4),0)</f>
        <v>43663</v>
      </c>
      <c r="LI4" s="30"/>
      <c r="LJ4" s="30"/>
      <c r="LK4" s="30">
        <f ca="1">IF(ISNUMBER(InfoQ!$H4),DATE(YEAR(LK$1),MONTH(LK$1)+InfoQ!$H4,InfoQ!$I4),0)</f>
        <v>43755</v>
      </c>
      <c r="LL4" s="30"/>
      <c r="LM4" s="30"/>
      <c r="LN4" s="30">
        <f ca="1">IF(ISNUMBER(InfoQ!$H4),DATE(YEAR(LN$1),MONTH(LN$1)+InfoQ!$H4,InfoQ!$I4),0)</f>
        <v>43847</v>
      </c>
      <c r="LO4" s="30"/>
      <c r="LP4" s="30"/>
      <c r="LQ4" s="30">
        <f ca="1">IF(ISNUMBER(InfoQ!$H4),DATE(YEAR(LQ$1),MONTH(LQ$1)+InfoQ!$H4,InfoQ!$I4),0)</f>
        <v>43938</v>
      </c>
      <c r="LR4" s="30"/>
      <c r="LS4" s="30"/>
      <c r="LT4" s="30">
        <f ca="1">IF(ISNUMBER(InfoQ!$H4),DATE(YEAR(LT$1),MONTH(LT$1)+InfoQ!$H4,InfoQ!$I4),0)</f>
        <v>44029</v>
      </c>
      <c r="LU4" s="30"/>
      <c r="LV4" s="30"/>
      <c r="LW4" s="30">
        <f ca="1">IF(ISNUMBER(InfoQ!$H4),DATE(YEAR(LW$1),MONTH(LW$1)+InfoQ!$H4,InfoQ!$I4),0)</f>
        <v>44121</v>
      </c>
      <c r="LX4" s="30"/>
      <c r="LY4" s="30"/>
      <c r="LZ4" s="30">
        <f ca="1">IF(ISNUMBER(InfoQ!$H4),DATE(YEAR(LZ$1),MONTH(LZ$1)+InfoQ!$H4,InfoQ!$I4),0)</f>
        <v>44213</v>
      </c>
      <c r="MA4" s="30"/>
      <c r="MB4" s="30"/>
      <c r="MC4" s="30">
        <f ca="1">IF(ISNUMBER(InfoQ!$H4),DATE(YEAR(MC$1),MONTH(MC$1)+InfoQ!$H4,InfoQ!$I4),0)</f>
        <v>44303</v>
      </c>
      <c r="MD4" s="30"/>
      <c r="ME4" s="30"/>
      <c r="MF4" s="30">
        <f ca="1">IF(ISNUMBER(InfoQ!$H4),DATE(YEAR(MF$1),MONTH(MF$1)+InfoQ!$H4,InfoQ!$I4),0)</f>
        <v>44394</v>
      </c>
      <c r="MG4" s="30"/>
      <c r="MH4" s="30"/>
      <c r="MI4" s="30">
        <f ca="1">IF(ISNUMBER(InfoQ!$H4),DATE(YEAR(MI$1),MONTH(MI$1)+InfoQ!$H4,InfoQ!$I4),0)</f>
        <v>44486</v>
      </c>
      <c r="MJ4" s="30"/>
      <c r="MK4" s="30"/>
      <c r="ML4" s="30">
        <f ca="1">IF(ISNUMBER(InfoQ!$H4),DATE(YEAR(ML$1),MONTH(ML$1)+InfoQ!$H4,InfoQ!$I4),0)</f>
        <v>44578</v>
      </c>
      <c r="MM4" s="30"/>
      <c r="MN4" s="30"/>
      <c r="MO4" s="30">
        <f ca="1">IF(ISNUMBER(InfoQ!$H4),DATE(YEAR(MO$1),MONTH(MO$1)+InfoQ!$H4,InfoQ!$I4),0)</f>
        <v>44668</v>
      </c>
      <c r="MP4" s="30"/>
      <c r="MQ4" s="30"/>
      <c r="MR4" s="30">
        <f ca="1">IF(ISNUMBER(InfoQ!$H4),DATE(YEAR(MR$1),MONTH(MR$1)+InfoQ!$H4,InfoQ!$I4),0)</f>
        <v>44759</v>
      </c>
      <c r="MS4" s="30"/>
      <c r="MT4" s="30"/>
      <c r="MU4" s="30">
        <f ca="1">IF(ISNUMBER(InfoQ!$H4),DATE(YEAR(MU$1),MONTH(MU$1)+InfoQ!$H4,InfoQ!$I4),0)</f>
        <v>44851</v>
      </c>
      <c r="MV4" s="30"/>
      <c r="MW4" s="30"/>
      <c r="MX4" s="30">
        <f ca="1">IF(ISNUMBER(InfoQ!$H4),DATE(YEAR(MX$1),MONTH(MX$1)+InfoQ!$H4,InfoQ!$I4),0)</f>
        <v>44943</v>
      </c>
      <c r="MY4" s="30"/>
      <c r="MZ4" s="30"/>
      <c r="NA4" s="30">
        <f ca="1">IF(ISNUMBER(InfoQ!$H4),DATE(YEAR(NA$1),MONTH(NA$1)+InfoQ!$H4,InfoQ!$I4),0)</f>
        <v>45033</v>
      </c>
      <c r="NB4" s="30"/>
      <c r="NC4" s="30"/>
      <c r="ND4" s="30">
        <f ca="1">IF(ISNUMBER(InfoQ!$H4),DATE(YEAR(ND$1),MONTH(ND$1)+InfoQ!$H4,InfoQ!$I4),0)</f>
        <v>45124</v>
      </c>
      <c r="NE4" s="30"/>
      <c r="NF4" s="30"/>
      <c r="NG4" s="30">
        <f ca="1">IF(ISNUMBER(InfoQ!$H4),DATE(YEAR(NG$1),MONTH(NG$1)+InfoQ!$H4,InfoQ!$I4),0)</f>
        <v>45216</v>
      </c>
      <c r="NH4" s="30"/>
      <c r="NI4" s="30"/>
      <c r="NJ4" s="30">
        <f ca="1">IF(ISNUMBER(InfoQ!$H4),DATE(YEAR(NJ$1),MONTH(NJ$1)+InfoQ!$H4,InfoQ!$I4),0)</f>
        <v>45308</v>
      </c>
      <c r="NK4" s="30"/>
      <c r="NL4" s="30"/>
      <c r="NM4" s="30">
        <f ca="1">IF(ISNUMBER(InfoQ!$H4),DATE(YEAR(NM$1),MONTH(NM$1)+InfoQ!$H4,InfoQ!$I4),0)</f>
        <v>45399</v>
      </c>
      <c r="NN4" s="30"/>
      <c r="NO4" s="30"/>
      <c r="NP4" s="30">
        <f ca="1">IF(ISNUMBER(InfoQ!$H4),DATE(YEAR(NP$1),MONTH(NP$1)+InfoQ!$H4,InfoQ!$I4),0)</f>
        <v>45490</v>
      </c>
      <c r="NQ4" s="30"/>
      <c r="NR4" s="30"/>
      <c r="NS4" s="30">
        <f ca="1">IF(ISNUMBER(InfoQ!$H4),DATE(YEAR(NS$1),MONTH(NS$1)+InfoQ!$H4,InfoQ!$I4),0)</f>
        <v>45582</v>
      </c>
      <c r="NT4" s="30"/>
      <c r="NU4" s="30"/>
      <c r="NV4" s="30">
        <f ca="1">IF(ISNUMBER(InfoQ!$H4),DATE(YEAR(NV$1),MONTH(NV$1)+InfoQ!$H4,InfoQ!$I4),0)</f>
        <v>45674</v>
      </c>
      <c r="NW4" s="30"/>
      <c r="NX4" s="30"/>
      <c r="NY4" s="30">
        <f ca="1">IF(ISNUMBER(InfoQ!$H4),DATE(YEAR(NY$1),MONTH(NY$1)+InfoQ!$H4,InfoQ!$I4),0)</f>
        <v>45764</v>
      </c>
      <c r="NZ4" s="30"/>
      <c r="OA4" s="30"/>
      <c r="OB4" s="30">
        <f ca="1">IF(ISNUMBER(InfoQ!$H4),DATE(YEAR(OB$1),MONTH(OB$1)+InfoQ!$H4,InfoQ!$I4),0)</f>
        <v>45855</v>
      </c>
      <c r="OC4" s="30"/>
      <c r="OD4" s="30"/>
      <c r="OE4" s="30">
        <f ca="1">IF(ISNUMBER(InfoQ!$H4),DATE(YEAR(OE$1),MONTH(OE$1)+InfoQ!$H4,InfoQ!$I4),0)</f>
        <v>45947</v>
      </c>
      <c r="OF4" s="30"/>
      <c r="OG4" s="30"/>
      <c r="OH4" s="30">
        <f ca="1">IF(ISNUMBER(InfoQ!$H4),DATE(YEAR(OH$1),MONTH(OH$1)+InfoQ!$H4,InfoQ!$I4),0)</f>
        <v>46039</v>
      </c>
      <c r="OI4" s="30"/>
      <c r="OJ4" s="30"/>
      <c r="OK4" s="30">
        <f ca="1">IF(ISNUMBER(InfoQ!$H4),DATE(YEAR(OK$1),MONTH(OK$1)+InfoQ!$H4,InfoQ!$I4),0)</f>
        <v>46129</v>
      </c>
      <c r="OL4" s="30"/>
      <c r="OM4" s="30"/>
      <c r="ON4" s="30">
        <f ca="1">IF(ISNUMBER(InfoQ!$H4),DATE(YEAR(ON$1),MONTH(ON$1)+InfoQ!$H4,InfoQ!$I4),0)</f>
        <v>46220</v>
      </c>
      <c r="OO4" s="30"/>
      <c r="OP4" s="30"/>
      <c r="OQ4" s="30">
        <f ca="1">IF(ISNUMBER(InfoQ!$H4),DATE(YEAR(OQ$1),MONTH(OQ$1)+InfoQ!$H4,InfoQ!$I4),0)</f>
        <v>46312</v>
      </c>
      <c r="OR4" s="30"/>
      <c r="OS4" s="30"/>
      <c r="OT4" s="30">
        <f ca="1">IF(ISNUMBER(InfoQ!$H4),DATE(YEAR(OT$1),MONTH(OT$1)+InfoQ!$H4,InfoQ!$I4),0)</f>
        <v>46404</v>
      </c>
    </row>
    <row r="5" spans="1:410" x14ac:dyDescent="0.35">
      <c r="A5" s="19" t="str">
        <f>InfoM!A2</f>
        <v>Man_PMI_EM</v>
      </c>
      <c r="B5">
        <f>InfoM!G2</f>
        <v>1</v>
      </c>
      <c r="C5" s="30">
        <f>DATE(YEAR(C$1),MONTH(C$1)+InfoM!$H2,InfoM!$I2)</f>
        <v>34001</v>
      </c>
      <c r="D5" s="30">
        <f ca="1">DATE(YEAR(D$1),MONTH(D$1)+InfoM!$H2,InfoM!$I2)</f>
        <v>34029</v>
      </c>
      <c r="E5" s="30">
        <f ca="1">DATE(YEAR(E$1),MONTH(E$1)+InfoM!$H2,InfoM!$I2)</f>
        <v>34060</v>
      </c>
      <c r="F5" s="30">
        <f ca="1">DATE(YEAR(F$1),MONTH(F$1)+InfoM!$H2,InfoM!$I2)</f>
        <v>34090</v>
      </c>
      <c r="G5" s="30">
        <f ca="1">DATE(YEAR(G$1),MONTH(G$1)+InfoM!$H2,InfoM!$I2)</f>
        <v>34121</v>
      </c>
      <c r="H5" s="30">
        <f ca="1">DATE(YEAR(H$1),MONTH(H$1)+InfoM!$H2,InfoM!$I2)</f>
        <v>34151</v>
      </c>
      <c r="I5" s="30">
        <f ca="1">DATE(YEAR(I$1),MONTH(I$1)+InfoM!$H2,InfoM!$I2)</f>
        <v>34182</v>
      </c>
      <c r="J5" s="30">
        <f ca="1">DATE(YEAR(J$1),MONTH(J$1)+InfoM!$H2,InfoM!$I2)</f>
        <v>34213</v>
      </c>
      <c r="K5" s="30">
        <f ca="1">DATE(YEAR(K$1),MONTH(K$1)+InfoM!$H2,InfoM!$I2)</f>
        <v>34243</v>
      </c>
      <c r="L5" s="30">
        <f ca="1">DATE(YEAR(L$1),MONTH(L$1)+InfoM!$H2,InfoM!$I2)</f>
        <v>34274</v>
      </c>
      <c r="M5" s="30">
        <f ca="1">DATE(YEAR(M$1),MONTH(M$1)+InfoM!$H2,InfoM!$I2)</f>
        <v>34304</v>
      </c>
      <c r="N5" s="30">
        <f ca="1">DATE(YEAR(N$1),MONTH(N$1)+InfoM!$H2,InfoM!$I2)</f>
        <v>34335</v>
      </c>
      <c r="O5" s="30">
        <f ca="1">DATE(YEAR(O$1),MONTH(O$1)+InfoM!$H2,InfoM!$I2)</f>
        <v>34366</v>
      </c>
      <c r="P5" s="30">
        <f ca="1">DATE(YEAR(P$1),MONTH(P$1)+InfoM!$H2,InfoM!$I2)</f>
        <v>34394</v>
      </c>
      <c r="Q5" s="30">
        <f ca="1">DATE(YEAR(Q$1),MONTH(Q$1)+InfoM!$H2,InfoM!$I2)</f>
        <v>34425</v>
      </c>
      <c r="R5" s="30">
        <f ca="1">DATE(YEAR(R$1),MONTH(R$1)+InfoM!$H2,InfoM!$I2)</f>
        <v>34455</v>
      </c>
      <c r="S5" s="30">
        <f ca="1">DATE(YEAR(S$1),MONTH(S$1)+InfoM!$H2,InfoM!$I2)</f>
        <v>34486</v>
      </c>
      <c r="T5" s="30">
        <f ca="1">DATE(YEAR(T$1),MONTH(T$1)+InfoM!$H2,InfoM!$I2)</f>
        <v>34516</v>
      </c>
      <c r="U5" s="30">
        <f ca="1">DATE(YEAR(U$1),MONTH(U$1)+InfoM!$H2,InfoM!$I2)</f>
        <v>34547</v>
      </c>
      <c r="V5" s="30">
        <f ca="1">DATE(YEAR(V$1),MONTH(V$1)+InfoM!$H2,InfoM!$I2)</f>
        <v>34578</v>
      </c>
      <c r="W5" s="30">
        <f ca="1">DATE(YEAR(W$1),MONTH(W$1)+InfoM!$H2,InfoM!$I2)</f>
        <v>34608</v>
      </c>
      <c r="X5" s="30">
        <f ca="1">DATE(YEAR(X$1),MONTH(X$1)+InfoM!$H2,InfoM!$I2)</f>
        <v>34639</v>
      </c>
      <c r="Y5" s="30">
        <f ca="1">DATE(YEAR(Y$1),MONTH(Y$1)+InfoM!$H2,InfoM!$I2)</f>
        <v>34669</v>
      </c>
      <c r="Z5" s="30">
        <f ca="1">DATE(YEAR(Z$1),MONTH(Z$1)+InfoM!$H2,InfoM!$I2)</f>
        <v>34700</v>
      </c>
      <c r="AA5" s="30">
        <f ca="1">DATE(YEAR(AA$1),MONTH(AA$1)+InfoM!$H2,InfoM!$I2)</f>
        <v>34731</v>
      </c>
      <c r="AB5" s="30">
        <f ca="1">DATE(YEAR(AB$1),MONTH(AB$1)+InfoM!$H2,InfoM!$I2)</f>
        <v>34759</v>
      </c>
      <c r="AC5" s="30">
        <f ca="1">DATE(YEAR(AC$1),MONTH(AC$1)+InfoM!$H2,InfoM!$I2)</f>
        <v>34790</v>
      </c>
      <c r="AD5" s="30">
        <f ca="1">DATE(YEAR(AD$1),MONTH(AD$1)+InfoM!$H2,InfoM!$I2)</f>
        <v>34820</v>
      </c>
      <c r="AE5" s="30">
        <f ca="1">DATE(YEAR(AE$1),MONTH(AE$1)+InfoM!$H2,InfoM!$I2)</f>
        <v>34851</v>
      </c>
      <c r="AF5" s="30">
        <f ca="1">DATE(YEAR(AF$1),MONTH(AF$1)+InfoM!$H2,InfoM!$I2)</f>
        <v>34881</v>
      </c>
      <c r="AG5" s="30">
        <f ca="1">DATE(YEAR(AG$1),MONTH(AG$1)+InfoM!$H2,InfoM!$I2)</f>
        <v>34912</v>
      </c>
      <c r="AH5" s="30">
        <f ca="1">DATE(YEAR(AH$1),MONTH(AH$1)+InfoM!$H2,InfoM!$I2)</f>
        <v>34943</v>
      </c>
      <c r="AI5" s="30">
        <f ca="1">DATE(YEAR(AI$1),MONTH(AI$1)+InfoM!$H2,InfoM!$I2)</f>
        <v>34973</v>
      </c>
      <c r="AJ5" s="30">
        <f ca="1">DATE(YEAR(AJ$1),MONTH(AJ$1)+InfoM!$H2,InfoM!$I2)</f>
        <v>35004</v>
      </c>
      <c r="AK5" s="30">
        <f ca="1">DATE(YEAR(AK$1),MONTH(AK$1)+InfoM!$H2,InfoM!$I2)</f>
        <v>35034</v>
      </c>
      <c r="AL5" s="30">
        <f ca="1">DATE(YEAR(AL$1),MONTH(AL$1)+InfoM!$H2,InfoM!$I2)</f>
        <v>35065</v>
      </c>
      <c r="AM5" s="30">
        <f ca="1">DATE(YEAR(AM$1),MONTH(AM$1)+InfoM!$H2,InfoM!$I2)</f>
        <v>35096</v>
      </c>
      <c r="AN5" s="30">
        <f ca="1">DATE(YEAR(AN$1),MONTH(AN$1)+InfoM!$H2,InfoM!$I2)</f>
        <v>35125</v>
      </c>
      <c r="AO5" s="30">
        <f ca="1">DATE(YEAR(AO$1),MONTH(AO$1)+InfoM!$H2,InfoM!$I2)</f>
        <v>35156</v>
      </c>
      <c r="AP5" s="30">
        <f ca="1">DATE(YEAR(AP$1),MONTH(AP$1)+InfoM!$H2,InfoM!$I2)</f>
        <v>35186</v>
      </c>
      <c r="AQ5" s="30">
        <f ca="1">DATE(YEAR(AQ$1),MONTH(AQ$1)+InfoM!$H2,InfoM!$I2)</f>
        <v>35217</v>
      </c>
      <c r="AR5" s="30">
        <f ca="1">DATE(YEAR(AR$1),MONTH(AR$1)+InfoM!$H2,InfoM!$I2)</f>
        <v>35247</v>
      </c>
      <c r="AS5" s="30">
        <f ca="1">DATE(YEAR(AS$1),MONTH(AS$1)+InfoM!$H2,InfoM!$I2)</f>
        <v>35278</v>
      </c>
      <c r="AT5" s="30">
        <f ca="1">DATE(YEAR(AT$1),MONTH(AT$1)+InfoM!$H2,InfoM!$I2)</f>
        <v>35309</v>
      </c>
      <c r="AU5" s="30">
        <f ca="1">DATE(YEAR(AU$1),MONTH(AU$1)+InfoM!$H2,InfoM!$I2)</f>
        <v>35339</v>
      </c>
      <c r="AV5" s="30">
        <f ca="1">DATE(YEAR(AV$1),MONTH(AV$1)+InfoM!$H2,InfoM!$I2)</f>
        <v>35370</v>
      </c>
      <c r="AW5" s="30">
        <f ca="1">DATE(YEAR(AW$1),MONTH(AW$1)+InfoM!$H2,InfoM!$I2)</f>
        <v>35400</v>
      </c>
      <c r="AX5" s="30">
        <f ca="1">DATE(YEAR(AX$1),MONTH(AX$1)+InfoM!$H2,InfoM!$I2)</f>
        <v>35431</v>
      </c>
      <c r="AY5" s="30">
        <f ca="1">DATE(YEAR(AY$1),MONTH(AY$1)+InfoM!$H2,InfoM!$I2)</f>
        <v>35462</v>
      </c>
      <c r="AZ5" s="30">
        <f ca="1">DATE(YEAR(AZ$1),MONTH(AZ$1)+InfoM!$H2,InfoM!$I2)</f>
        <v>35490</v>
      </c>
      <c r="BA5" s="30">
        <f ca="1">DATE(YEAR(BA$1),MONTH(BA$1)+InfoM!$H2,InfoM!$I2)</f>
        <v>35521</v>
      </c>
      <c r="BB5" s="30">
        <f ca="1">DATE(YEAR(BB$1),MONTH(BB$1)+InfoM!$H2,InfoM!$I2)</f>
        <v>35551</v>
      </c>
      <c r="BC5" s="30">
        <f ca="1">DATE(YEAR(BC$1),MONTH(BC$1)+InfoM!$H2,InfoM!$I2)</f>
        <v>35582</v>
      </c>
      <c r="BD5" s="30">
        <f ca="1">DATE(YEAR(BD$1),MONTH(BD$1)+InfoM!$H2,InfoM!$I2)</f>
        <v>35612</v>
      </c>
      <c r="BE5" s="30">
        <f ca="1">DATE(YEAR(BE$1),MONTH(BE$1)+InfoM!$H2,InfoM!$I2)</f>
        <v>35643</v>
      </c>
      <c r="BF5" s="30">
        <f ca="1">DATE(YEAR(BF$1),MONTH(BF$1)+InfoM!$H2,InfoM!$I2)</f>
        <v>35674</v>
      </c>
      <c r="BG5" s="30">
        <f ca="1">DATE(YEAR(BG$1),MONTH(BG$1)+InfoM!$H2,InfoM!$I2)</f>
        <v>35704</v>
      </c>
      <c r="BH5" s="30">
        <f ca="1">DATE(YEAR(BH$1),MONTH(BH$1)+InfoM!$H2,InfoM!$I2)</f>
        <v>35735</v>
      </c>
      <c r="BI5" s="30">
        <f ca="1">DATE(YEAR(BI$1),MONTH(BI$1)+InfoM!$H2,InfoM!$I2)</f>
        <v>35765</v>
      </c>
      <c r="BJ5" s="30">
        <f ca="1">DATE(YEAR(BJ$1),MONTH(BJ$1)+InfoM!$H2,InfoM!$I2)</f>
        <v>35796</v>
      </c>
      <c r="BK5" s="30">
        <f ca="1">DATE(YEAR(BK$1),MONTH(BK$1)+InfoM!$H2,InfoM!$I2)</f>
        <v>35827</v>
      </c>
      <c r="BL5" s="30">
        <f ca="1">DATE(YEAR(BL$1),MONTH(BL$1)+InfoM!$H2,InfoM!$I2)</f>
        <v>35855</v>
      </c>
      <c r="BM5" s="30">
        <f ca="1">DATE(YEAR(BM$1),MONTH(BM$1)+InfoM!$H2,InfoM!$I2)</f>
        <v>35886</v>
      </c>
      <c r="BN5" s="30">
        <f ca="1">DATE(YEAR(BN$1),MONTH(BN$1)+InfoM!$H2,InfoM!$I2)</f>
        <v>35916</v>
      </c>
      <c r="BO5" s="30">
        <f ca="1">DATE(YEAR(BO$1),MONTH(BO$1)+InfoM!$H2,InfoM!$I2)</f>
        <v>35947</v>
      </c>
      <c r="BP5" s="30">
        <f ca="1">DATE(YEAR(BP$1),MONTH(BP$1)+InfoM!$H2,InfoM!$I2)</f>
        <v>35977</v>
      </c>
      <c r="BQ5" s="30">
        <f ca="1">DATE(YEAR(BQ$1),MONTH(BQ$1)+InfoM!$H2,InfoM!$I2)</f>
        <v>36008</v>
      </c>
      <c r="BR5" s="30">
        <f ca="1">DATE(YEAR(BR$1),MONTH(BR$1)+InfoM!$H2,InfoM!$I2)</f>
        <v>36039</v>
      </c>
      <c r="BS5" s="30">
        <f ca="1">DATE(YEAR(BS$1),MONTH(BS$1)+InfoM!$H2,InfoM!$I2)</f>
        <v>36069</v>
      </c>
      <c r="BT5" s="30">
        <f ca="1">DATE(YEAR(BT$1),MONTH(BT$1)+InfoM!$H2,InfoM!$I2)</f>
        <v>36100</v>
      </c>
      <c r="BU5" s="30">
        <f ca="1">DATE(YEAR(BU$1),MONTH(BU$1)+InfoM!$H2,InfoM!$I2)</f>
        <v>36130</v>
      </c>
      <c r="BV5" s="30">
        <f ca="1">DATE(YEAR(BV$1),MONTH(BV$1)+InfoM!$H2,InfoM!$I2)</f>
        <v>36161</v>
      </c>
      <c r="BW5" s="30">
        <f ca="1">DATE(YEAR(BW$1),MONTH(BW$1)+InfoM!$H2,InfoM!$I2)</f>
        <v>36192</v>
      </c>
      <c r="BX5" s="30">
        <f ca="1">DATE(YEAR(BX$1),MONTH(BX$1)+InfoM!$H2,InfoM!$I2)</f>
        <v>36220</v>
      </c>
      <c r="BY5" s="30">
        <f ca="1">DATE(YEAR(BY$1),MONTH(BY$1)+InfoM!$H2,InfoM!$I2)</f>
        <v>36251</v>
      </c>
      <c r="BZ5" s="30">
        <f ca="1">DATE(YEAR(BZ$1),MONTH(BZ$1)+InfoM!$H2,InfoM!$I2)</f>
        <v>36281</v>
      </c>
      <c r="CA5" s="30">
        <f ca="1">DATE(YEAR(CA$1),MONTH(CA$1)+InfoM!$H2,InfoM!$I2)</f>
        <v>36312</v>
      </c>
      <c r="CB5" s="30">
        <f ca="1">DATE(YEAR(CB$1),MONTH(CB$1)+InfoM!$H2,InfoM!$I2)</f>
        <v>36342</v>
      </c>
      <c r="CC5" s="30">
        <f ca="1">DATE(YEAR(CC$1),MONTH(CC$1)+InfoM!$H2,InfoM!$I2)</f>
        <v>36373</v>
      </c>
      <c r="CD5" s="30">
        <f ca="1">DATE(YEAR(CD$1),MONTH(CD$1)+InfoM!$H2,InfoM!$I2)</f>
        <v>36404</v>
      </c>
      <c r="CE5" s="30">
        <f ca="1">DATE(YEAR(CE$1),MONTH(CE$1)+InfoM!$H2,InfoM!$I2)</f>
        <v>36434</v>
      </c>
      <c r="CF5" s="30">
        <f ca="1">DATE(YEAR(CF$1),MONTH(CF$1)+InfoM!$H2,InfoM!$I2)</f>
        <v>36465</v>
      </c>
      <c r="CG5" s="30">
        <f ca="1">DATE(YEAR(CG$1),MONTH(CG$1)+InfoM!$H2,InfoM!$I2)</f>
        <v>36495</v>
      </c>
      <c r="CH5" s="30">
        <f ca="1">DATE(YEAR(CH$1),MONTH(CH$1)+InfoM!$H2,InfoM!$I2)</f>
        <v>36526</v>
      </c>
      <c r="CI5" s="30">
        <f ca="1">DATE(YEAR(CI$1),MONTH(CI$1)+InfoM!$H2,InfoM!$I2)</f>
        <v>36557</v>
      </c>
      <c r="CJ5" s="30">
        <f ca="1">DATE(YEAR(CJ$1),MONTH(CJ$1)+InfoM!$H2,InfoM!$I2)</f>
        <v>36586</v>
      </c>
      <c r="CK5" s="30">
        <f ca="1">DATE(YEAR(CK$1),MONTH(CK$1)+InfoM!$H2,InfoM!$I2)</f>
        <v>36617</v>
      </c>
      <c r="CL5" s="30">
        <f ca="1">DATE(YEAR(CL$1),MONTH(CL$1)+InfoM!$H2,InfoM!$I2)</f>
        <v>36647</v>
      </c>
      <c r="CM5" s="30">
        <f ca="1">DATE(YEAR(CM$1),MONTH(CM$1)+InfoM!$H2,InfoM!$I2)</f>
        <v>36678</v>
      </c>
      <c r="CN5" s="30">
        <f ca="1">DATE(YEAR(CN$1),MONTH(CN$1)+InfoM!$H2,InfoM!$I2)</f>
        <v>36708</v>
      </c>
      <c r="CO5" s="30">
        <f ca="1">DATE(YEAR(CO$1),MONTH(CO$1)+InfoM!$H2,InfoM!$I2)</f>
        <v>36739</v>
      </c>
      <c r="CP5" s="30">
        <f ca="1">DATE(YEAR(CP$1),MONTH(CP$1)+InfoM!$H2,InfoM!$I2)</f>
        <v>36770</v>
      </c>
      <c r="CQ5" s="30">
        <f ca="1">DATE(YEAR(CQ$1),MONTH(CQ$1)+InfoM!$H2,InfoM!$I2)</f>
        <v>36800</v>
      </c>
      <c r="CR5" s="30">
        <f ca="1">DATE(YEAR(CR$1),MONTH(CR$1)+InfoM!$H2,InfoM!$I2)</f>
        <v>36831</v>
      </c>
      <c r="CS5" s="30">
        <f ca="1">DATE(YEAR(CS$1),MONTH(CS$1)+InfoM!$H2,InfoM!$I2)</f>
        <v>36861</v>
      </c>
      <c r="CT5" s="30">
        <f ca="1">DATE(YEAR(CT$1),MONTH(CT$1)+InfoM!$H2,InfoM!$I2)</f>
        <v>36892</v>
      </c>
      <c r="CU5" s="30">
        <f ca="1">DATE(YEAR(CU$1),MONTH(CU$1)+InfoM!$H2,InfoM!$I2)</f>
        <v>36923</v>
      </c>
      <c r="CV5" s="30">
        <f ca="1">DATE(YEAR(CV$1),MONTH(CV$1)+InfoM!$H2,InfoM!$I2)</f>
        <v>36951</v>
      </c>
      <c r="CW5" s="30">
        <f ca="1">DATE(YEAR(CW$1),MONTH(CW$1)+InfoM!$H2,InfoM!$I2)</f>
        <v>36982</v>
      </c>
      <c r="CX5" s="30">
        <f ca="1">DATE(YEAR(CX$1),MONTH(CX$1)+InfoM!$H2,InfoM!$I2)</f>
        <v>37012</v>
      </c>
      <c r="CY5" s="30">
        <f ca="1">DATE(YEAR(CY$1),MONTH(CY$1)+InfoM!$H2,InfoM!$I2)</f>
        <v>37043</v>
      </c>
      <c r="CZ5" s="30">
        <f ca="1">DATE(YEAR(CZ$1),MONTH(CZ$1)+InfoM!$H2,InfoM!$I2)</f>
        <v>37073</v>
      </c>
      <c r="DA5" s="30">
        <f ca="1">DATE(YEAR(DA$1),MONTH(DA$1)+InfoM!$H2,InfoM!$I2)</f>
        <v>37104</v>
      </c>
      <c r="DB5" s="30">
        <f ca="1">DATE(YEAR(DB$1),MONTH(DB$1)+InfoM!$H2,InfoM!$I2)</f>
        <v>37135</v>
      </c>
      <c r="DC5" s="30">
        <f ca="1">DATE(YEAR(DC$1),MONTH(DC$1)+InfoM!$H2,InfoM!$I2)</f>
        <v>37165</v>
      </c>
      <c r="DD5" s="30">
        <f ca="1">DATE(YEAR(DD$1),MONTH(DD$1)+InfoM!$H2,InfoM!$I2)</f>
        <v>37196</v>
      </c>
      <c r="DE5" s="30">
        <f ca="1">DATE(YEAR(DE$1),MONTH(DE$1)+InfoM!$H2,InfoM!$I2)</f>
        <v>37226</v>
      </c>
      <c r="DF5" s="30">
        <f ca="1">DATE(YEAR(DF$1),MONTH(DF$1)+InfoM!$H2,InfoM!$I2)</f>
        <v>37257</v>
      </c>
      <c r="DG5" s="30">
        <f ca="1">DATE(YEAR(DG$1),MONTH(DG$1)+InfoM!$H2,InfoM!$I2)</f>
        <v>37288</v>
      </c>
      <c r="DH5" s="30">
        <f ca="1">DATE(YEAR(DH$1),MONTH(DH$1)+InfoM!$H2,InfoM!$I2)</f>
        <v>37316</v>
      </c>
      <c r="DI5" s="30">
        <f ca="1">DATE(YEAR(DI$1),MONTH(DI$1)+InfoM!$H2,InfoM!$I2)</f>
        <v>37347</v>
      </c>
      <c r="DJ5" s="30">
        <f ca="1">DATE(YEAR(DJ$1),MONTH(DJ$1)+InfoM!$H2,InfoM!$I2)</f>
        <v>37377</v>
      </c>
      <c r="DK5" s="30">
        <f ca="1">DATE(YEAR(DK$1),MONTH(DK$1)+InfoM!$H2,InfoM!$I2)</f>
        <v>37408</v>
      </c>
      <c r="DL5" s="30">
        <f ca="1">DATE(YEAR(DL$1),MONTH(DL$1)+InfoM!$H2,InfoM!$I2)</f>
        <v>37438</v>
      </c>
      <c r="DM5" s="30">
        <f ca="1">DATE(YEAR(DM$1),MONTH(DM$1)+InfoM!$H2,InfoM!$I2)</f>
        <v>37469</v>
      </c>
      <c r="DN5" s="30">
        <f ca="1">DATE(YEAR(DN$1),MONTH(DN$1)+InfoM!$H2,InfoM!$I2)</f>
        <v>37500</v>
      </c>
      <c r="DO5" s="30">
        <f ca="1">DATE(YEAR(DO$1),MONTH(DO$1)+InfoM!$H2,InfoM!$I2)</f>
        <v>37530</v>
      </c>
      <c r="DP5" s="30">
        <f ca="1">DATE(YEAR(DP$1),MONTH(DP$1)+InfoM!$H2,InfoM!$I2)</f>
        <v>37561</v>
      </c>
      <c r="DQ5" s="30">
        <f ca="1">DATE(YEAR(DQ$1),MONTH(DQ$1)+InfoM!$H2,InfoM!$I2)</f>
        <v>37591</v>
      </c>
      <c r="DR5" s="30">
        <f ca="1">DATE(YEAR(DR$1),MONTH(DR$1)+InfoM!$H2,InfoM!$I2)</f>
        <v>37622</v>
      </c>
      <c r="DS5" s="30">
        <f ca="1">DATE(YEAR(DS$1),MONTH(DS$1)+InfoM!$H2,InfoM!$I2)</f>
        <v>37653</v>
      </c>
      <c r="DT5" s="30">
        <f ca="1">DATE(YEAR(DT$1),MONTH(DT$1)+InfoM!$H2,InfoM!$I2)</f>
        <v>37681</v>
      </c>
      <c r="DU5" s="30">
        <f ca="1">DATE(YEAR(DU$1),MONTH(DU$1)+InfoM!$H2,InfoM!$I2)</f>
        <v>37712</v>
      </c>
      <c r="DV5" s="30">
        <f ca="1">DATE(YEAR(DV$1),MONTH(DV$1)+InfoM!$H2,InfoM!$I2)</f>
        <v>37742</v>
      </c>
      <c r="DW5" s="30">
        <f ca="1">DATE(YEAR(DW$1),MONTH(DW$1)+InfoM!$H2,InfoM!$I2)</f>
        <v>37773</v>
      </c>
      <c r="DX5" s="30">
        <f ca="1">DATE(YEAR(DX$1),MONTH(DX$1)+InfoM!$H2,InfoM!$I2)</f>
        <v>37803</v>
      </c>
      <c r="DY5" s="30">
        <f ca="1">DATE(YEAR(DY$1),MONTH(DY$1)+InfoM!$H2,InfoM!$I2)</f>
        <v>37834</v>
      </c>
      <c r="DZ5" s="30">
        <f ca="1">DATE(YEAR(DZ$1),MONTH(DZ$1)+InfoM!$H2,InfoM!$I2)</f>
        <v>37865</v>
      </c>
      <c r="EA5" s="30">
        <f ca="1">DATE(YEAR(EA$1),MONTH(EA$1)+InfoM!$H2,InfoM!$I2)</f>
        <v>37895</v>
      </c>
      <c r="EB5" s="30">
        <f ca="1">DATE(YEAR(EB$1),MONTH(EB$1)+InfoM!$H2,InfoM!$I2)</f>
        <v>37926</v>
      </c>
      <c r="EC5" s="30">
        <f ca="1">DATE(YEAR(EC$1),MONTH(EC$1)+InfoM!$H2,InfoM!$I2)</f>
        <v>37956</v>
      </c>
      <c r="ED5" s="30">
        <f ca="1">DATE(YEAR(ED$1),MONTH(ED$1)+InfoM!$H2,InfoM!$I2)</f>
        <v>37987</v>
      </c>
      <c r="EE5" s="30">
        <f ca="1">DATE(YEAR(EE$1),MONTH(EE$1)+InfoM!$H2,InfoM!$I2)</f>
        <v>38018</v>
      </c>
      <c r="EF5" s="30">
        <f ca="1">DATE(YEAR(EF$1),MONTH(EF$1)+InfoM!$H2,InfoM!$I2)</f>
        <v>38047</v>
      </c>
      <c r="EG5" s="30">
        <f ca="1">DATE(YEAR(EG$1),MONTH(EG$1)+InfoM!$H2,InfoM!$I2)</f>
        <v>38078</v>
      </c>
      <c r="EH5" s="30">
        <f ca="1">DATE(YEAR(EH$1),MONTH(EH$1)+InfoM!$H2,InfoM!$I2)</f>
        <v>38108</v>
      </c>
      <c r="EI5" s="30">
        <f ca="1">DATE(YEAR(EI$1),MONTH(EI$1)+InfoM!$H2,InfoM!$I2)</f>
        <v>38139</v>
      </c>
      <c r="EJ5" s="30">
        <f ca="1">DATE(YEAR(EJ$1),MONTH(EJ$1)+InfoM!$H2,InfoM!$I2)</f>
        <v>38169</v>
      </c>
      <c r="EK5" s="30">
        <f ca="1">DATE(YEAR(EK$1),MONTH(EK$1)+InfoM!$H2,InfoM!$I2)</f>
        <v>38200</v>
      </c>
      <c r="EL5" s="30">
        <f ca="1">DATE(YEAR(EL$1),MONTH(EL$1)+InfoM!$H2,InfoM!$I2)</f>
        <v>38231</v>
      </c>
      <c r="EM5" s="30">
        <f ca="1">DATE(YEAR(EM$1),MONTH(EM$1)+InfoM!$H2,InfoM!$I2)</f>
        <v>38261</v>
      </c>
      <c r="EN5" s="30">
        <f ca="1">DATE(YEAR(EN$1),MONTH(EN$1)+InfoM!$H2,InfoM!$I2)</f>
        <v>38292</v>
      </c>
      <c r="EO5" s="30">
        <f ca="1">DATE(YEAR(EO$1),MONTH(EO$1)+InfoM!$H2,InfoM!$I2)</f>
        <v>38322</v>
      </c>
      <c r="EP5" s="30">
        <f ca="1">DATE(YEAR(EP$1),MONTH(EP$1)+InfoM!$H2,InfoM!$I2)</f>
        <v>38353</v>
      </c>
      <c r="EQ5" s="30">
        <f ca="1">DATE(YEAR(EQ$1),MONTH(EQ$1)+InfoM!$H2,InfoM!$I2)</f>
        <v>38384</v>
      </c>
      <c r="ER5" s="30">
        <f ca="1">DATE(YEAR(ER$1),MONTH(ER$1)+InfoM!$H2,InfoM!$I2)</f>
        <v>38412</v>
      </c>
      <c r="ES5" s="30">
        <f ca="1">DATE(YEAR(ES$1),MONTH(ES$1)+InfoM!$H2,InfoM!$I2)</f>
        <v>38443</v>
      </c>
      <c r="ET5" s="30">
        <f ca="1">DATE(YEAR(ET$1),MONTH(ET$1)+InfoM!$H2,InfoM!$I2)</f>
        <v>38473</v>
      </c>
      <c r="EU5" s="30">
        <f ca="1">DATE(YEAR(EU$1),MONTH(EU$1)+InfoM!$H2,InfoM!$I2)</f>
        <v>38504</v>
      </c>
      <c r="EV5" s="30">
        <f ca="1">DATE(YEAR(EV$1),MONTH(EV$1)+InfoM!$H2,InfoM!$I2)</f>
        <v>38534</v>
      </c>
      <c r="EW5" s="30">
        <f ca="1">DATE(YEAR(EW$1),MONTH(EW$1)+InfoM!$H2,InfoM!$I2)</f>
        <v>38565</v>
      </c>
      <c r="EX5" s="30">
        <f ca="1">DATE(YEAR(EX$1),MONTH(EX$1)+InfoM!$H2,InfoM!$I2)</f>
        <v>38596</v>
      </c>
      <c r="EY5" s="30">
        <f ca="1">DATE(YEAR(EY$1),MONTH(EY$1)+InfoM!$H2,InfoM!$I2)</f>
        <v>38626</v>
      </c>
      <c r="EZ5" s="30">
        <f ca="1">DATE(YEAR(EZ$1),MONTH(EZ$1)+InfoM!$H2,InfoM!$I2)</f>
        <v>38657</v>
      </c>
      <c r="FA5" s="30">
        <f ca="1">DATE(YEAR(FA$1),MONTH(FA$1)+InfoM!$H2,InfoM!$I2)</f>
        <v>38687</v>
      </c>
      <c r="FB5" s="30">
        <f ca="1">DATE(YEAR(FB$1),MONTH(FB$1)+InfoM!$H2,InfoM!$I2)</f>
        <v>38718</v>
      </c>
      <c r="FC5" s="30">
        <f ca="1">DATE(YEAR(FC$1),MONTH(FC$1)+InfoM!$H2,InfoM!$I2)</f>
        <v>38749</v>
      </c>
      <c r="FD5" s="30">
        <f ca="1">DATE(YEAR(FD$1),MONTH(FD$1)+InfoM!$H2,InfoM!$I2)</f>
        <v>38777</v>
      </c>
      <c r="FE5" s="30">
        <f ca="1">DATE(YEAR(FE$1),MONTH(FE$1)+InfoM!$H2,InfoM!$I2)</f>
        <v>38808</v>
      </c>
      <c r="FF5" s="30">
        <f ca="1">DATE(YEAR(FF$1),MONTH(FF$1)+InfoM!$H2,InfoM!$I2)</f>
        <v>38838</v>
      </c>
      <c r="FG5" s="30">
        <f ca="1">DATE(YEAR(FG$1),MONTH(FG$1)+InfoM!$H2,InfoM!$I2)</f>
        <v>38869</v>
      </c>
      <c r="FH5" s="30">
        <f ca="1">DATE(YEAR(FH$1),MONTH(FH$1)+InfoM!$H2,InfoM!$I2)</f>
        <v>38899</v>
      </c>
      <c r="FI5" s="30">
        <f ca="1">DATE(YEAR(FI$1),MONTH(FI$1)+InfoM!$H2,InfoM!$I2)</f>
        <v>38930</v>
      </c>
      <c r="FJ5" s="30">
        <f ca="1">DATE(YEAR(FJ$1),MONTH(FJ$1)+InfoM!$H2,InfoM!$I2)</f>
        <v>38961</v>
      </c>
      <c r="FK5" s="30">
        <f ca="1">DATE(YEAR(FK$1),MONTH(FK$1)+InfoM!$H2,InfoM!$I2)</f>
        <v>38991</v>
      </c>
      <c r="FL5" s="30">
        <f ca="1">DATE(YEAR(FL$1),MONTH(FL$1)+InfoM!$H2,InfoM!$I2)</f>
        <v>39022</v>
      </c>
      <c r="FM5" s="30">
        <f ca="1">DATE(YEAR(FM$1),MONTH(FM$1)+InfoM!$H2,InfoM!$I2)</f>
        <v>39052</v>
      </c>
      <c r="FN5" s="30">
        <f ca="1">DATE(YEAR(FN$1),MONTH(FN$1)+InfoM!$H2,InfoM!$I2)</f>
        <v>39083</v>
      </c>
      <c r="FO5" s="30">
        <f ca="1">DATE(YEAR(FO$1),MONTH(FO$1)+InfoM!$H2,InfoM!$I2)</f>
        <v>39114</v>
      </c>
      <c r="FP5" s="30">
        <f ca="1">DATE(YEAR(FP$1),MONTH(FP$1)+InfoM!$H2,InfoM!$I2)</f>
        <v>39142</v>
      </c>
      <c r="FQ5" s="30">
        <f ca="1">DATE(YEAR(FQ$1),MONTH(FQ$1)+InfoM!$H2,InfoM!$I2)</f>
        <v>39173</v>
      </c>
      <c r="FR5" s="30">
        <f ca="1">DATE(YEAR(FR$1),MONTH(FR$1)+InfoM!$H2,InfoM!$I2)</f>
        <v>39203</v>
      </c>
      <c r="FS5" s="30">
        <f ca="1">DATE(YEAR(FS$1),MONTH(FS$1)+InfoM!$H2,InfoM!$I2)</f>
        <v>39234</v>
      </c>
      <c r="FT5" s="30">
        <f ca="1">DATE(YEAR(FT$1),MONTH(FT$1)+InfoM!$H2,InfoM!$I2)</f>
        <v>39264</v>
      </c>
      <c r="FU5" s="30">
        <f ca="1">DATE(YEAR(FU$1),MONTH(FU$1)+InfoM!$H2,InfoM!$I2)</f>
        <v>39295</v>
      </c>
      <c r="FV5" s="30">
        <f ca="1">DATE(YEAR(FV$1),MONTH(FV$1)+InfoM!$H2,InfoM!$I2)</f>
        <v>39326</v>
      </c>
      <c r="FW5" s="30">
        <f ca="1">DATE(YEAR(FW$1),MONTH(FW$1)+InfoM!$H2,InfoM!$I2)</f>
        <v>39356</v>
      </c>
      <c r="FX5" s="30">
        <f ca="1">DATE(YEAR(FX$1),MONTH(FX$1)+InfoM!$H2,InfoM!$I2)</f>
        <v>39387</v>
      </c>
      <c r="FY5" s="30">
        <f ca="1">DATE(YEAR(FY$1),MONTH(FY$1)+InfoM!$H2,InfoM!$I2)</f>
        <v>39417</v>
      </c>
      <c r="FZ5" s="30">
        <f ca="1">DATE(YEAR(FZ$1),MONTH(FZ$1)+InfoM!$H2,InfoM!$I2)</f>
        <v>39448</v>
      </c>
      <c r="GA5" s="30">
        <f ca="1">DATE(YEAR(GA$1),MONTH(GA$1)+InfoM!$H2,InfoM!$I2)</f>
        <v>39479</v>
      </c>
      <c r="GB5" s="30">
        <f ca="1">DATE(YEAR(GB$1),MONTH(GB$1)+InfoM!$H2,InfoM!$I2)</f>
        <v>39508</v>
      </c>
      <c r="GC5" s="30">
        <f ca="1">DATE(YEAR(GC$1),MONTH(GC$1)+InfoM!$H2,InfoM!$I2)</f>
        <v>39539</v>
      </c>
      <c r="GD5" s="30">
        <f ca="1">DATE(YEAR(GD$1),MONTH(GD$1)+InfoM!$H2,InfoM!$I2)</f>
        <v>39569</v>
      </c>
      <c r="GE5" s="30">
        <f ca="1">DATE(YEAR(GE$1),MONTH(GE$1)+InfoM!$H2,InfoM!$I2)</f>
        <v>39600</v>
      </c>
      <c r="GF5" s="30">
        <f ca="1">DATE(YEAR(GF$1),MONTH(GF$1)+InfoM!$H2,InfoM!$I2)</f>
        <v>39630</v>
      </c>
      <c r="GG5" s="30">
        <f ca="1">DATE(YEAR(GG$1),MONTH(GG$1)+InfoM!$H2,InfoM!$I2)</f>
        <v>39661</v>
      </c>
      <c r="GH5" s="30">
        <f ca="1">DATE(YEAR(GH$1),MONTH(GH$1)+InfoM!$H2,InfoM!$I2)</f>
        <v>39692</v>
      </c>
      <c r="GI5" s="30">
        <f ca="1">DATE(YEAR(GI$1),MONTH(GI$1)+InfoM!$H2,InfoM!$I2)</f>
        <v>39722</v>
      </c>
      <c r="GJ5" s="30">
        <f ca="1">DATE(YEAR(GJ$1),MONTH(GJ$1)+InfoM!$H2,InfoM!$I2)</f>
        <v>39753</v>
      </c>
      <c r="GK5" s="30">
        <f ca="1">DATE(YEAR(GK$1),MONTH(GK$1)+InfoM!$H2,InfoM!$I2)</f>
        <v>39783</v>
      </c>
      <c r="GL5" s="30">
        <f ca="1">DATE(YEAR(GL$1),MONTH(GL$1)+InfoM!$H2,InfoM!$I2)</f>
        <v>39814</v>
      </c>
      <c r="GM5" s="30">
        <f ca="1">DATE(YEAR(GM$1),MONTH(GM$1)+InfoM!$H2,InfoM!$I2)</f>
        <v>39845</v>
      </c>
      <c r="GN5" s="30">
        <f ca="1">DATE(YEAR(GN$1),MONTH(GN$1)+InfoM!$H2,InfoM!$I2)</f>
        <v>39873</v>
      </c>
      <c r="GO5" s="30">
        <f ca="1">DATE(YEAR(GO$1),MONTH(GO$1)+InfoM!$H2,InfoM!$I2)</f>
        <v>39904</v>
      </c>
      <c r="GP5" s="30">
        <f ca="1">DATE(YEAR(GP$1),MONTH(GP$1)+InfoM!$H2,InfoM!$I2)</f>
        <v>39934</v>
      </c>
      <c r="GQ5" s="30">
        <f ca="1">DATE(YEAR(GQ$1),MONTH(GQ$1)+InfoM!$H2,InfoM!$I2)</f>
        <v>39965</v>
      </c>
      <c r="GR5" s="30">
        <f ca="1">DATE(YEAR(GR$1),MONTH(GR$1)+InfoM!$H2,InfoM!$I2)</f>
        <v>39995</v>
      </c>
      <c r="GS5" s="30">
        <f ca="1">DATE(YEAR(GS$1),MONTH(GS$1)+InfoM!$H2,InfoM!$I2)</f>
        <v>40026</v>
      </c>
      <c r="GT5" s="30">
        <f ca="1">DATE(YEAR(GT$1),MONTH(GT$1)+InfoM!$H2,InfoM!$I2)</f>
        <v>40057</v>
      </c>
      <c r="GU5" s="30">
        <f ca="1">DATE(YEAR(GU$1),MONTH(GU$1)+InfoM!$H2,InfoM!$I2)</f>
        <v>40087</v>
      </c>
      <c r="GV5" s="30">
        <f ca="1">DATE(YEAR(GV$1),MONTH(GV$1)+InfoM!$H2,InfoM!$I2)</f>
        <v>40118</v>
      </c>
      <c r="GW5" s="30">
        <f ca="1">DATE(YEAR(GW$1),MONTH(GW$1)+InfoM!$H2,InfoM!$I2)</f>
        <v>40148</v>
      </c>
      <c r="GX5" s="30">
        <f ca="1">DATE(YEAR(GX$1),MONTH(GX$1)+InfoM!$H2,InfoM!$I2)</f>
        <v>40179</v>
      </c>
      <c r="GY5" s="30">
        <f ca="1">DATE(YEAR(GY$1),MONTH(GY$1)+InfoM!$H2,InfoM!$I2)</f>
        <v>40210</v>
      </c>
      <c r="GZ5" s="30">
        <f ca="1">DATE(YEAR(GZ$1),MONTH(GZ$1)+InfoM!$H2,InfoM!$I2)</f>
        <v>40238</v>
      </c>
      <c r="HA5" s="30">
        <f ca="1">DATE(YEAR(HA$1),MONTH(HA$1)+InfoM!$H2,InfoM!$I2)</f>
        <v>40269</v>
      </c>
      <c r="HB5" s="30">
        <f ca="1">DATE(YEAR(HB$1),MONTH(HB$1)+InfoM!$H2,InfoM!$I2)</f>
        <v>40299</v>
      </c>
      <c r="HC5" s="30">
        <f ca="1">DATE(YEAR(HC$1),MONTH(HC$1)+InfoM!$H2,InfoM!$I2)</f>
        <v>40330</v>
      </c>
      <c r="HD5" s="30">
        <f ca="1">DATE(YEAR(HD$1),MONTH(HD$1)+InfoM!$H2,InfoM!$I2)</f>
        <v>40360</v>
      </c>
      <c r="HE5" s="30">
        <f ca="1">DATE(YEAR(HE$1),MONTH(HE$1)+InfoM!$H2,InfoM!$I2)</f>
        <v>40391</v>
      </c>
      <c r="HF5" s="30">
        <f ca="1">DATE(YEAR(HF$1),MONTH(HF$1)+InfoM!$H2,InfoM!$I2)</f>
        <v>40422</v>
      </c>
      <c r="HG5" s="30">
        <f ca="1">DATE(YEAR(HG$1),MONTH(HG$1)+InfoM!$H2,InfoM!$I2)</f>
        <v>40452</v>
      </c>
      <c r="HH5" s="30">
        <f ca="1">DATE(YEAR(HH$1),MONTH(HH$1)+InfoM!$H2,InfoM!$I2)</f>
        <v>40483</v>
      </c>
      <c r="HI5" s="30">
        <f ca="1">DATE(YEAR(HI$1),MONTH(HI$1)+InfoM!$H2,InfoM!$I2)</f>
        <v>40513</v>
      </c>
      <c r="HJ5" s="30">
        <f ca="1">DATE(YEAR(HJ$1),MONTH(HJ$1)+InfoM!$H2,InfoM!$I2)</f>
        <v>40544</v>
      </c>
      <c r="HK5" s="30">
        <f ca="1">DATE(YEAR(HK$1),MONTH(HK$1)+InfoM!$H2,InfoM!$I2)</f>
        <v>40575</v>
      </c>
      <c r="HL5" s="30">
        <f ca="1">DATE(YEAR(HL$1),MONTH(HL$1)+InfoM!$H2,InfoM!$I2)</f>
        <v>40603</v>
      </c>
      <c r="HM5" s="30">
        <f ca="1">DATE(YEAR(HM$1),MONTH(HM$1)+InfoM!$H2,InfoM!$I2)</f>
        <v>40634</v>
      </c>
      <c r="HN5" s="30">
        <f ca="1">DATE(YEAR(HN$1),MONTH(HN$1)+InfoM!$H2,InfoM!$I2)</f>
        <v>40664</v>
      </c>
      <c r="HO5" s="30">
        <f ca="1">DATE(YEAR(HO$1),MONTH(HO$1)+InfoM!$H2,InfoM!$I2)</f>
        <v>40695</v>
      </c>
      <c r="HP5" s="30">
        <f ca="1">DATE(YEAR(HP$1),MONTH(HP$1)+InfoM!$H2,InfoM!$I2)</f>
        <v>40725</v>
      </c>
      <c r="HQ5" s="30">
        <f ca="1">DATE(YEAR(HQ$1),MONTH(HQ$1)+InfoM!$H2,InfoM!$I2)</f>
        <v>40756</v>
      </c>
      <c r="HR5" s="30">
        <f ca="1">DATE(YEAR(HR$1),MONTH(HR$1)+InfoM!$H2,InfoM!$I2)</f>
        <v>40787</v>
      </c>
      <c r="HS5" s="30">
        <f ca="1">DATE(YEAR(HS$1),MONTH(HS$1)+InfoM!$H2,InfoM!$I2)</f>
        <v>40817</v>
      </c>
      <c r="HT5" s="30">
        <f ca="1">DATE(YEAR(HT$1),MONTH(HT$1)+InfoM!$H2,InfoM!$I2)</f>
        <v>40848</v>
      </c>
      <c r="HU5" s="30">
        <f ca="1">DATE(YEAR(HU$1),MONTH(HU$1)+InfoM!$H2,InfoM!$I2)</f>
        <v>40878</v>
      </c>
      <c r="HV5" s="30">
        <f ca="1">DATE(YEAR(HV$1),MONTH(HV$1)+InfoM!$H2,InfoM!$I2)</f>
        <v>40909</v>
      </c>
      <c r="HW5" s="30">
        <f ca="1">DATE(YEAR(HW$1),MONTH(HW$1)+InfoM!$H2,InfoM!$I2)</f>
        <v>40940</v>
      </c>
      <c r="HX5" s="30">
        <f ca="1">DATE(YEAR(HX$1),MONTH(HX$1)+InfoM!$H2,InfoM!$I2)</f>
        <v>40969</v>
      </c>
      <c r="HY5" s="30">
        <f ca="1">DATE(YEAR(HY$1),MONTH(HY$1)+InfoM!$H2,InfoM!$I2)</f>
        <v>41000</v>
      </c>
      <c r="HZ5" s="30">
        <f ca="1">DATE(YEAR(HZ$1),MONTH(HZ$1)+InfoM!$H2,InfoM!$I2)</f>
        <v>41030</v>
      </c>
      <c r="IA5" s="30">
        <f ca="1">DATE(YEAR(IA$1),MONTH(IA$1)+InfoM!$H2,InfoM!$I2)</f>
        <v>41061</v>
      </c>
      <c r="IB5" s="30">
        <f ca="1">DATE(YEAR(IB$1),MONTH(IB$1)+InfoM!$H2,InfoM!$I2)</f>
        <v>41091</v>
      </c>
      <c r="IC5" s="30">
        <f ca="1">DATE(YEAR(IC$1),MONTH(IC$1)+InfoM!$H2,InfoM!$I2)</f>
        <v>41122</v>
      </c>
      <c r="ID5" s="30">
        <f ca="1">DATE(YEAR(ID$1),MONTH(ID$1)+InfoM!$H2,InfoM!$I2)</f>
        <v>41153</v>
      </c>
      <c r="IE5" s="30">
        <f ca="1">DATE(YEAR(IE$1),MONTH(IE$1)+InfoM!$H2,InfoM!$I2)</f>
        <v>41183</v>
      </c>
      <c r="IF5" s="30">
        <f ca="1">DATE(YEAR(IF$1),MONTH(IF$1)+InfoM!$H2,InfoM!$I2)</f>
        <v>41214</v>
      </c>
      <c r="IG5" s="30">
        <f ca="1">DATE(YEAR(IG$1),MONTH(IG$1)+InfoM!$H2,InfoM!$I2)</f>
        <v>41244</v>
      </c>
      <c r="IH5" s="30">
        <f ca="1">DATE(YEAR(IH$1),MONTH(IH$1)+InfoM!$H2,InfoM!$I2)</f>
        <v>41275</v>
      </c>
      <c r="II5" s="30">
        <f ca="1">DATE(YEAR(II$1),MONTH(II$1)+InfoM!$H2,InfoM!$I2)</f>
        <v>41306</v>
      </c>
      <c r="IJ5" s="30">
        <f ca="1">DATE(YEAR(IJ$1),MONTH(IJ$1)+InfoM!$H2,InfoM!$I2)</f>
        <v>41334</v>
      </c>
      <c r="IK5" s="30">
        <f ca="1">DATE(YEAR(IK$1),MONTH(IK$1)+InfoM!$H2,InfoM!$I2)</f>
        <v>41365</v>
      </c>
      <c r="IL5" s="30">
        <f ca="1">DATE(YEAR(IL$1),MONTH(IL$1)+InfoM!$H2,InfoM!$I2)</f>
        <v>41395</v>
      </c>
      <c r="IM5" s="30">
        <f ca="1">DATE(YEAR(IM$1),MONTH(IM$1)+InfoM!$H2,InfoM!$I2)</f>
        <v>41426</v>
      </c>
      <c r="IN5" s="30">
        <f ca="1">DATE(YEAR(IN$1),MONTH(IN$1)+InfoM!$H2,InfoM!$I2)</f>
        <v>41456</v>
      </c>
      <c r="IO5" s="30">
        <f ca="1">DATE(YEAR(IO$1),MONTH(IO$1)+InfoM!$H2,InfoM!$I2)</f>
        <v>41487</v>
      </c>
      <c r="IP5" s="30">
        <f ca="1">DATE(YEAR(IP$1),MONTH(IP$1)+InfoM!$H2,InfoM!$I2)</f>
        <v>41518</v>
      </c>
      <c r="IQ5" s="30">
        <f ca="1">DATE(YEAR(IQ$1),MONTH(IQ$1)+InfoM!$H2,InfoM!$I2)</f>
        <v>41548</v>
      </c>
      <c r="IR5" s="30">
        <f ca="1">DATE(YEAR(IR$1),MONTH(IR$1)+InfoM!$H2,InfoM!$I2)</f>
        <v>41579</v>
      </c>
      <c r="IS5" s="30">
        <f ca="1">DATE(YEAR(IS$1),MONTH(IS$1)+InfoM!$H2,InfoM!$I2)</f>
        <v>41609</v>
      </c>
      <c r="IT5" s="30">
        <f ca="1">DATE(YEAR(IT$1),MONTH(IT$1)+InfoM!$H2,InfoM!$I2)</f>
        <v>41640</v>
      </c>
      <c r="IU5" s="30">
        <f ca="1">DATE(YEAR(IU$1),MONTH(IU$1)+InfoM!$H2,InfoM!$I2)</f>
        <v>41671</v>
      </c>
      <c r="IV5" s="30">
        <f ca="1">DATE(YEAR(IV$1),MONTH(IV$1)+InfoM!$H2,InfoM!$I2)</f>
        <v>41699</v>
      </c>
      <c r="IW5" s="30">
        <f ca="1">DATE(YEAR(IW$1),MONTH(IW$1)+InfoM!$H2,InfoM!$I2)</f>
        <v>41730</v>
      </c>
      <c r="IX5" s="30">
        <f ca="1">DATE(YEAR(IX$1),MONTH(IX$1)+InfoM!$H2,InfoM!$I2)</f>
        <v>41760</v>
      </c>
      <c r="IY5" s="30">
        <f ca="1">DATE(YEAR(IY$1),MONTH(IY$1)+InfoM!$H2,InfoM!$I2)</f>
        <v>41791</v>
      </c>
      <c r="IZ5" s="30">
        <f ca="1">DATE(YEAR(IZ$1),MONTH(IZ$1)+InfoM!$H2,InfoM!$I2)</f>
        <v>41821</v>
      </c>
      <c r="JA5" s="30">
        <f ca="1">DATE(YEAR(JA$1),MONTH(JA$1)+InfoM!$H2,InfoM!$I2)</f>
        <v>41852</v>
      </c>
      <c r="JB5" s="30">
        <f ca="1">DATE(YEAR(JB$1),MONTH(JB$1)+InfoM!$H2,InfoM!$I2)</f>
        <v>41883</v>
      </c>
      <c r="JC5" s="30">
        <f ca="1">DATE(YEAR(JC$1),MONTH(JC$1)+InfoM!$H2,InfoM!$I2)</f>
        <v>41913</v>
      </c>
      <c r="JD5" s="30">
        <f ca="1">DATE(YEAR(JD$1),MONTH(JD$1)+InfoM!$H2,InfoM!$I2)</f>
        <v>41944</v>
      </c>
      <c r="JE5" s="30">
        <f ca="1">DATE(YEAR(JE$1),MONTH(JE$1)+InfoM!$H2,InfoM!$I2)</f>
        <v>41974</v>
      </c>
      <c r="JF5" s="30">
        <f ca="1">DATE(YEAR(JF$1),MONTH(JF$1)+InfoM!$H2,InfoM!$I2)</f>
        <v>42005</v>
      </c>
      <c r="JG5" s="30">
        <f ca="1">DATE(YEAR(JG$1),MONTH(JG$1)+InfoM!$H2,InfoM!$I2)</f>
        <v>42036</v>
      </c>
      <c r="JH5" s="30">
        <f ca="1">DATE(YEAR(JH$1),MONTH(JH$1)+InfoM!$H2,InfoM!$I2)</f>
        <v>42064</v>
      </c>
      <c r="JI5" s="30">
        <f ca="1">DATE(YEAR(JI$1),MONTH(JI$1)+InfoM!$H2,InfoM!$I2)</f>
        <v>42095</v>
      </c>
      <c r="JJ5" s="30">
        <f ca="1">DATE(YEAR(JJ$1),MONTH(JJ$1)+InfoM!$H2,InfoM!$I2)</f>
        <v>42125</v>
      </c>
      <c r="JK5" s="30">
        <f ca="1">DATE(YEAR(JK$1),MONTH(JK$1)+InfoM!$H2,InfoM!$I2)</f>
        <v>42156</v>
      </c>
      <c r="JL5" s="30">
        <f ca="1">DATE(YEAR(JL$1),MONTH(JL$1)+InfoM!$H2,InfoM!$I2)</f>
        <v>42186</v>
      </c>
      <c r="JM5" s="30">
        <f ca="1">DATE(YEAR(JM$1),MONTH(JM$1)+InfoM!$H2,InfoM!$I2)</f>
        <v>42217</v>
      </c>
      <c r="JN5" s="30">
        <f ca="1">DATE(YEAR(JN$1),MONTH(JN$1)+InfoM!$H2,InfoM!$I2)</f>
        <v>42248</v>
      </c>
      <c r="JO5" s="30">
        <f ca="1">DATE(YEAR(JO$1),MONTH(JO$1)+InfoM!$H2,InfoM!$I2)</f>
        <v>42278</v>
      </c>
      <c r="JP5" s="30">
        <f ca="1">DATE(YEAR(JP$1),MONTH(JP$1)+InfoM!$H2,InfoM!$I2)</f>
        <v>42309</v>
      </c>
      <c r="JQ5" s="30">
        <f ca="1">DATE(YEAR(JQ$1),MONTH(JQ$1)+InfoM!$H2,InfoM!$I2)</f>
        <v>42339</v>
      </c>
      <c r="JR5" s="30">
        <f ca="1">DATE(YEAR(JR$1),MONTH(JR$1)+InfoM!$H2,InfoM!$I2)</f>
        <v>42370</v>
      </c>
      <c r="JS5" s="30">
        <f ca="1">DATE(YEAR(JS$1),MONTH(JS$1)+InfoM!$H2,InfoM!$I2)</f>
        <v>42401</v>
      </c>
      <c r="JT5" s="30">
        <f ca="1">DATE(YEAR(JT$1),MONTH(JT$1)+InfoM!$H2,InfoM!$I2)</f>
        <v>42430</v>
      </c>
      <c r="JU5" s="30">
        <f ca="1">DATE(YEAR(JU$1),MONTH(JU$1)+InfoM!$H2,InfoM!$I2)</f>
        <v>42461</v>
      </c>
      <c r="JV5" s="30">
        <f ca="1">DATE(YEAR(JV$1),MONTH(JV$1)+InfoM!$H2,InfoM!$I2)</f>
        <v>42491</v>
      </c>
      <c r="JW5" s="30">
        <f ca="1">DATE(YEAR(JW$1),MONTH(JW$1)+InfoM!$H2,InfoM!$I2)</f>
        <v>42522</v>
      </c>
      <c r="JX5" s="30">
        <f ca="1">DATE(YEAR(JX$1),MONTH(JX$1)+InfoM!$H2,InfoM!$I2)</f>
        <v>42552</v>
      </c>
      <c r="JY5" s="30">
        <f ca="1">DATE(YEAR(JY$1),MONTH(JY$1)+InfoM!$H2,InfoM!$I2)</f>
        <v>42583</v>
      </c>
      <c r="JZ5" s="30">
        <f ca="1">DATE(YEAR(JZ$1),MONTH(JZ$1)+InfoM!$H2,InfoM!$I2)</f>
        <v>42614</v>
      </c>
      <c r="KA5" s="30">
        <f ca="1">DATE(YEAR(KA$1),MONTH(KA$1)+InfoM!$H2,InfoM!$I2)</f>
        <v>42644</v>
      </c>
      <c r="KB5" s="30">
        <f ca="1">DATE(YEAR(KB$1),MONTH(KB$1)+InfoM!$H2,InfoM!$I2)</f>
        <v>42675</v>
      </c>
      <c r="KC5" s="30">
        <f ca="1">DATE(YEAR(KC$1),MONTH(KC$1)+InfoM!$H2,InfoM!$I2)</f>
        <v>42705</v>
      </c>
      <c r="KD5" s="30">
        <f ca="1">DATE(YEAR(KD$1),MONTH(KD$1)+InfoM!$H2,InfoM!$I2)</f>
        <v>42736</v>
      </c>
      <c r="KE5" s="30">
        <f ca="1">DATE(YEAR(KE$1),MONTH(KE$1)+InfoM!$H2,InfoM!$I2)</f>
        <v>42767</v>
      </c>
      <c r="KF5" s="30">
        <f ca="1">DATE(YEAR(KF$1),MONTH(KF$1)+InfoM!$H2,InfoM!$I2)</f>
        <v>42795</v>
      </c>
      <c r="KG5" s="30">
        <f ca="1">DATE(YEAR(KG$1),MONTH(KG$1)+InfoM!$H2,InfoM!$I2)</f>
        <v>42826</v>
      </c>
      <c r="KH5" s="30">
        <f ca="1">DATE(YEAR(KH$1),MONTH(KH$1)+InfoM!$H2,InfoM!$I2)</f>
        <v>42856</v>
      </c>
      <c r="KI5" s="30">
        <f ca="1">DATE(YEAR(KI$1),MONTH(KI$1)+InfoM!$H2,InfoM!$I2)</f>
        <v>42887</v>
      </c>
      <c r="KJ5" s="30">
        <f ca="1">DATE(YEAR(KJ$1),MONTH(KJ$1)+InfoM!$H2,InfoM!$I2)</f>
        <v>42917</v>
      </c>
      <c r="KK5" s="30">
        <f ca="1">DATE(YEAR(KK$1),MONTH(KK$1)+InfoM!$H2,InfoM!$I2)</f>
        <v>42948</v>
      </c>
      <c r="KL5" s="30">
        <f ca="1">DATE(YEAR(KL$1),MONTH(KL$1)+InfoM!$H2,InfoM!$I2)</f>
        <v>42979</v>
      </c>
      <c r="KM5" s="30">
        <f ca="1">DATE(YEAR(KM$1),MONTH(KM$1)+InfoM!$H2,InfoM!$I2)</f>
        <v>43009</v>
      </c>
      <c r="KN5" s="30">
        <f ca="1">DATE(YEAR(KN$1),MONTH(KN$1)+InfoM!$H2,InfoM!$I2)</f>
        <v>43040</v>
      </c>
      <c r="KO5" s="30">
        <f ca="1">DATE(YEAR(KO$1),MONTH(KO$1)+InfoM!$H2,InfoM!$I2)</f>
        <v>43070</v>
      </c>
      <c r="KP5" s="30">
        <f ca="1">DATE(YEAR(KP$1),MONTH(KP$1)+InfoM!$H2,InfoM!$I2)</f>
        <v>43101</v>
      </c>
      <c r="KQ5" s="30">
        <f ca="1">DATE(YEAR(KQ$1),MONTH(KQ$1)+InfoM!$H2,InfoM!$I2)</f>
        <v>43132</v>
      </c>
      <c r="KR5" s="30">
        <f ca="1">DATE(YEAR(KR$1),MONTH(KR$1)+InfoM!$H2,InfoM!$I2)</f>
        <v>43160</v>
      </c>
      <c r="KS5" s="30">
        <f ca="1">DATE(YEAR(KS$1),MONTH(KS$1)+InfoM!$H2,InfoM!$I2)</f>
        <v>43191</v>
      </c>
      <c r="KT5" s="30">
        <f ca="1">DATE(YEAR(KT$1),MONTH(KT$1)+InfoM!$H2,InfoM!$I2)</f>
        <v>43221</v>
      </c>
      <c r="KU5" s="30">
        <f ca="1">DATE(YEAR(KU$1),MONTH(KU$1)+InfoM!$H2,InfoM!$I2)</f>
        <v>43252</v>
      </c>
      <c r="KV5" s="30">
        <f ca="1">DATE(YEAR(KV$1),MONTH(KV$1)+InfoM!$H2,InfoM!$I2)</f>
        <v>43282</v>
      </c>
      <c r="KW5" s="30">
        <f ca="1">DATE(YEAR(KW$1),MONTH(KW$1)+InfoM!$H2,InfoM!$I2)</f>
        <v>43313</v>
      </c>
      <c r="KX5" s="30">
        <f ca="1">DATE(YEAR(KX$1),MONTH(KX$1)+InfoM!$H2,InfoM!$I2)</f>
        <v>43344</v>
      </c>
      <c r="KY5" s="30">
        <f ca="1">DATE(YEAR(KY$1),MONTH(KY$1)+InfoM!$H2,InfoM!$I2)</f>
        <v>43374</v>
      </c>
      <c r="KZ5" s="30">
        <f ca="1">DATE(YEAR(KZ$1),MONTH(KZ$1)+InfoM!$H2,InfoM!$I2)</f>
        <v>43405</v>
      </c>
      <c r="LA5" s="30">
        <f ca="1">DATE(YEAR(LA$1),MONTH(LA$1)+InfoM!$H2,InfoM!$I2)</f>
        <v>43435</v>
      </c>
      <c r="LB5" s="30">
        <f ca="1">DATE(YEAR(LB$1),MONTH(LB$1)+InfoM!$H2,InfoM!$I2)</f>
        <v>43466</v>
      </c>
      <c r="LC5" s="30">
        <f ca="1">DATE(YEAR(LC$1),MONTH(LC$1)+InfoM!$H2,InfoM!$I2)</f>
        <v>43497</v>
      </c>
      <c r="LD5" s="30">
        <f ca="1">DATE(YEAR(LD$1),MONTH(LD$1)+InfoM!$H2,InfoM!$I2)</f>
        <v>43525</v>
      </c>
      <c r="LE5" s="30">
        <f ca="1">DATE(YEAR(LE$1),MONTH(LE$1)+InfoM!$H2,InfoM!$I2)</f>
        <v>43556</v>
      </c>
      <c r="LF5" s="30">
        <f ca="1">DATE(YEAR(LF$1),MONTH(LF$1)+InfoM!$H2,InfoM!$I2)</f>
        <v>43586</v>
      </c>
      <c r="LG5" s="30">
        <f ca="1">DATE(YEAR(LG$1),MONTH(LG$1)+InfoM!$H2,InfoM!$I2)</f>
        <v>43617</v>
      </c>
      <c r="LH5" s="30">
        <f ca="1">DATE(YEAR(LH$1),MONTH(LH$1)+InfoM!$H2,InfoM!$I2)</f>
        <v>43647</v>
      </c>
      <c r="LI5" s="30">
        <f ca="1">DATE(YEAR(LI$1),MONTH(LI$1)+InfoM!$H2,InfoM!$I2)</f>
        <v>43678</v>
      </c>
      <c r="LJ5" s="30">
        <f ca="1">DATE(YEAR(LJ$1),MONTH(LJ$1)+InfoM!$H2,InfoM!$I2)</f>
        <v>43709</v>
      </c>
      <c r="LK5" s="30">
        <f ca="1">DATE(YEAR(LK$1),MONTH(LK$1)+InfoM!$H2,InfoM!$I2)</f>
        <v>43739</v>
      </c>
      <c r="LL5" s="30">
        <f ca="1">DATE(YEAR(LL$1),MONTH(LL$1)+InfoM!$H2,InfoM!$I2)</f>
        <v>43770</v>
      </c>
      <c r="LM5" s="30">
        <f ca="1">DATE(YEAR(LM$1),MONTH(LM$1)+InfoM!$H2,InfoM!$I2)</f>
        <v>43800</v>
      </c>
      <c r="LN5" s="30">
        <f ca="1">DATE(YEAR(LN$1),MONTH(LN$1)+InfoM!$H2,InfoM!$I2)</f>
        <v>43831</v>
      </c>
      <c r="LO5" s="30">
        <f ca="1">DATE(YEAR(LO$1),MONTH(LO$1)+InfoM!$H2,InfoM!$I2)</f>
        <v>43862</v>
      </c>
      <c r="LP5" s="30">
        <f ca="1">DATE(YEAR(LP$1),MONTH(LP$1)+InfoM!$H2,InfoM!$I2)</f>
        <v>43891</v>
      </c>
      <c r="LQ5" s="30">
        <f ca="1">DATE(YEAR(LQ$1),MONTH(LQ$1)+InfoM!$H2,InfoM!$I2)</f>
        <v>43922</v>
      </c>
      <c r="LR5" s="30">
        <f ca="1">DATE(YEAR(LR$1),MONTH(LR$1)+InfoM!$H2,InfoM!$I2)</f>
        <v>43952</v>
      </c>
      <c r="LS5" s="30">
        <f ca="1">DATE(YEAR(LS$1),MONTH(LS$1)+InfoM!$H2,InfoM!$I2)</f>
        <v>43983</v>
      </c>
      <c r="LT5" s="30">
        <f ca="1">DATE(YEAR(LT$1),MONTH(LT$1)+InfoM!$H2,InfoM!$I2)</f>
        <v>44013</v>
      </c>
      <c r="LU5" s="30">
        <f ca="1">DATE(YEAR(LU$1),MONTH(LU$1)+InfoM!$H2,InfoM!$I2)</f>
        <v>44044</v>
      </c>
      <c r="LV5" s="30">
        <f ca="1">DATE(YEAR(LV$1),MONTH(LV$1)+InfoM!$H2,InfoM!$I2)</f>
        <v>44075</v>
      </c>
      <c r="LW5" s="30">
        <f ca="1">DATE(YEAR(LW$1),MONTH(LW$1)+InfoM!$H2,InfoM!$I2)</f>
        <v>44105</v>
      </c>
      <c r="LX5" s="30">
        <f ca="1">DATE(YEAR(LX$1),MONTH(LX$1)+InfoM!$H2,InfoM!$I2)</f>
        <v>44136</v>
      </c>
      <c r="LY5" s="30">
        <f ca="1">DATE(YEAR(LY$1),MONTH(LY$1)+InfoM!$H2,InfoM!$I2)</f>
        <v>44166</v>
      </c>
      <c r="LZ5" s="30">
        <f ca="1">DATE(YEAR(LZ$1),MONTH(LZ$1)+InfoM!$H2,InfoM!$I2)</f>
        <v>44197</v>
      </c>
      <c r="MA5" s="30">
        <f ca="1">DATE(YEAR(MA$1),MONTH(MA$1)+InfoM!$H2,InfoM!$I2)</f>
        <v>44228</v>
      </c>
      <c r="MB5" s="30">
        <f ca="1">DATE(YEAR(MB$1),MONTH(MB$1)+InfoM!$H2,InfoM!$I2)</f>
        <v>44256</v>
      </c>
      <c r="MC5" s="30">
        <f ca="1">DATE(YEAR(MC$1),MONTH(MC$1)+InfoM!$H2,InfoM!$I2)</f>
        <v>44287</v>
      </c>
      <c r="MD5" s="30">
        <f ca="1">DATE(YEAR(MD$1),MONTH(MD$1)+InfoM!$H2,InfoM!$I2)</f>
        <v>44317</v>
      </c>
      <c r="ME5" s="30">
        <f ca="1">DATE(YEAR(ME$1),MONTH(ME$1)+InfoM!$H2,InfoM!$I2)</f>
        <v>44348</v>
      </c>
      <c r="MF5" s="30">
        <f ca="1">DATE(YEAR(MF$1),MONTH(MF$1)+InfoM!$H2,InfoM!$I2)</f>
        <v>44378</v>
      </c>
      <c r="MG5" s="30">
        <f ca="1">DATE(YEAR(MG$1),MONTH(MG$1)+InfoM!$H2,InfoM!$I2)</f>
        <v>44409</v>
      </c>
      <c r="MH5" s="30">
        <f ca="1">DATE(YEAR(MH$1),MONTH(MH$1)+InfoM!$H2,InfoM!$I2)</f>
        <v>44440</v>
      </c>
      <c r="MI5" s="30">
        <f ca="1">DATE(YEAR(MI$1),MONTH(MI$1)+InfoM!$H2,InfoM!$I2)</f>
        <v>44470</v>
      </c>
      <c r="MJ5" s="30">
        <f ca="1">DATE(YEAR(MJ$1),MONTH(MJ$1)+InfoM!$H2,InfoM!$I2)</f>
        <v>44501</v>
      </c>
      <c r="MK5" s="30">
        <f ca="1">DATE(YEAR(MK$1),MONTH(MK$1)+InfoM!$H2,InfoM!$I2)</f>
        <v>44531</v>
      </c>
      <c r="ML5" s="30">
        <f ca="1">DATE(YEAR(ML$1),MONTH(ML$1)+InfoM!$H2,InfoM!$I2)</f>
        <v>44562</v>
      </c>
      <c r="MM5" s="30">
        <f ca="1">DATE(YEAR(MM$1),MONTH(MM$1)+InfoM!$H2,InfoM!$I2)</f>
        <v>44593</v>
      </c>
      <c r="MN5" s="30">
        <f ca="1">DATE(YEAR(MN$1),MONTH(MN$1)+InfoM!$H2,InfoM!$I2)</f>
        <v>44621</v>
      </c>
      <c r="MO5" s="30">
        <f ca="1">DATE(YEAR(MO$1),MONTH(MO$1)+InfoM!$H2,InfoM!$I2)</f>
        <v>44652</v>
      </c>
      <c r="MP5" s="30">
        <f ca="1">DATE(YEAR(MP$1),MONTH(MP$1)+InfoM!$H2,InfoM!$I2)</f>
        <v>44682</v>
      </c>
      <c r="MQ5" s="30">
        <f ca="1">DATE(YEAR(MQ$1),MONTH(MQ$1)+InfoM!$H2,InfoM!$I2)</f>
        <v>44713</v>
      </c>
      <c r="MR5" s="30">
        <f ca="1">DATE(YEAR(MR$1),MONTH(MR$1)+InfoM!$H2,InfoM!$I2)</f>
        <v>44743</v>
      </c>
      <c r="MS5" s="30">
        <f ca="1">DATE(YEAR(MS$1),MONTH(MS$1)+InfoM!$H2,InfoM!$I2)</f>
        <v>44774</v>
      </c>
      <c r="MT5" s="30">
        <f ca="1">DATE(YEAR(MT$1),MONTH(MT$1)+InfoM!$H2,InfoM!$I2)</f>
        <v>44805</v>
      </c>
      <c r="MU5" s="30">
        <f ca="1">DATE(YEAR(MU$1),MONTH(MU$1)+InfoM!$H2,InfoM!$I2)</f>
        <v>44835</v>
      </c>
      <c r="MV5" s="30">
        <f ca="1">DATE(YEAR(MV$1),MONTH(MV$1)+InfoM!$H2,InfoM!$I2)</f>
        <v>44866</v>
      </c>
      <c r="MW5" s="30">
        <f ca="1">DATE(YEAR(MW$1),MONTH(MW$1)+InfoM!$H2,InfoM!$I2)</f>
        <v>44896</v>
      </c>
      <c r="MX5" s="30">
        <f ca="1">DATE(YEAR(MX$1),MONTH(MX$1)+InfoM!$H2,InfoM!$I2)</f>
        <v>44927</v>
      </c>
      <c r="MY5" s="30">
        <f ca="1">DATE(YEAR(MY$1),MONTH(MY$1)+InfoM!$H2,InfoM!$I2)</f>
        <v>44958</v>
      </c>
      <c r="MZ5" s="30">
        <f ca="1">DATE(YEAR(MZ$1),MONTH(MZ$1)+InfoM!$H2,InfoM!$I2)</f>
        <v>44986</v>
      </c>
      <c r="NA5" s="30">
        <f ca="1">DATE(YEAR(NA$1),MONTH(NA$1)+InfoM!$H2,InfoM!$I2)</f>
        <v>45017</v>
      </c>
      <c r="NB5" s="30">
        <f ca="1">DATE(YEAR(NB$1),MONTH(NB$1)+InfoM!$H2,InfoM!$I2)</f>
        <v>45047</v>
      </c>
      <c r="NC5" s="30">
        <f ca="1">DATE(YEAR(NC$1),MONTH(NC$1)+InfoM!$H2,InfoM!$I2)</f>
        <v>45078</v>
      </c>
      <c r="ND5" s="30">
        <f ca="1">DATE(YEAR(ND$1),MONTH(ND$1)+InfoM!$H2,InfoM!$I2)</f>
        <v>45108</v>
      </c>
      <c r="NE5" s="30">
        <f ca="1">DATE(YEAR(NE$1),MONTH(NE$1)+InfoM!$H2,InfoM!$I2)</f>
        <v>45139</v>
      </c>
      <c r="NF5" s="30">
        <f ca="1">DATE(YEAR(NF$1),MONTH(NF$1)+InfoM!$H2,InfoM!$I2)</f>
        <v>45170</v>
      </c>
      <c r="NG5" s="30">
        <f ca="1">DATE(YEAR(NG$1),MONTH(NG$1)+InfoM!$H2,InfoM!$I2)</f>
        <v>45200</v>
      </c>
      <c r="NH5" s="30">
        <f ca="1">DATE(YEAR(NH$1),MONTH(NH$1)+InfoM!$H2,InfoM!$I2)</f>
        <v>45231</v>
      </c>
      <c r="NI5" s="30">
        <f ca="1">DATE(YEAR(NI$1),MONTH(NI$1)+InfoM!$H2,InfoM!$I2)</f>
        <v>45261</v>
      </c>
      <c r="NJ5" s="30">
        <f ca="1">DATE(YEAR(NJ$1),MONTH(NJ$1)+InfoM!$H2,InfoM!$I2)</f>
        <v>45292</v>
      </c>
      <c r="NK5" s="30">
        <f ca="1">DATE(YEAR(NK$1),MONTH(NK$1)+InfoM!$H2,InfoM!$I2)</f>
        <v>45323</v>
      </c>
      <c r="NL5" s="30">
        <f ca="1">DATE(YEAR(NL$1),MONTH(NL$1)+InfoM!$H2,InfoM!$I2)</f>
        <v>45352</v>
      </c>
      <c r="NM5" s="30">
        <f ca="1">DATE(YEAR(NM$1),MONTH(NM$1)+InfoM!$H2,InfoM!$I2)</f>
        <v>45383</v>
      </c>
      <c r="NN5" s="30">
        <f ca="1">DATE(YEAR(NN$1),MONTH(NN$1)+InfoM!$H2,InfoM!$I2)</f>
        <v>45413</v>
      </c>
      <c r="NO5" s="30">
        <f ca="1">DATE(YEAR(NO$1),MONTH(NO$1)+InfoM!$H2,InfoM!$I2)</f>
        <v>45444</v>
      </c>
      <c r="NP5" s="30">
        <f ca="1">DATE(YEAR(NP$1),MONTH(NP$1)+InfoM!$H2,InfoM!$I2)</f>
        <v>45474</v>
      </c>
      <c r="NQ5" s="30">
        <f ca="1">DATE(YEAR(NQ$1),MONTH(NQ$1)+InfoM!$H2,InfoM!$I2)</f>
        <v>45505</v>
      </c>
      <c r="NR5" s="30">
        <f ca="1">DATE(YEAR(NR$1),MONTH(NR$1)+InfoM!$H2,InfoM!$I2)</f>
        <v>45536</v>
      </c>
      <c r="NS5" s="30">
        <f ca="1">DATE(YEAR(NS$1),MONTH(NS$1)+InfoM!$H2,InfoM!$I2)</f>
        <v>45566</v>
      </c>
      <c r="NT5" s="30">
        <f ca="1">DATE(YEAR(NT$1),MONTH(NT$1)+InfoM!$H2,InfoM!$I2)</f>
        <v>45597</v>
      </c>
      <c r="NU5" s="30">
        <f ca="1">DATE(YEAR(NU$1),MONTH(NU$1)+InfoM!$H2,InfoM!$I2)</f>
        <v>45627</v>
      </c>
      <c r="NV5" s="30">
        <f ca="1">DATE(YEAR(NV$1),MONTH(NV$1)+InfoM!$H2,InfoM!$I2)</f>
        <v>45658</v>
      </c>
      <c r="NW5" s="30">
        <f ca="1">DATE(YEAR(NW$1),MONTH(NW$1)+InfoM!$H2,InfoM!$I2)</f>
        <v>45689</v>
      </c>
      <c r="NX5" s="30">
        <f ca="1">DATE(YEAR(NX$1),MONTH(NX$1)+InfoM!$H2,InfoM!$I2)</f>
        <v>45717</v>
      </c>
      <c r="NY5" s="30">
        <f ca="1">DATE(YEAR(NY$1),MONTH(NY$1)+InfoM!$H2,InfoM!$I2)</f>
        <v>45748</v>
      </c>
      <c r="NZ5" s="30">
        <f ca="1">DATE(YEAR(NZ$1),MONTH(NZ$1)+InfoM!$H2,InfoM!$I2)</f>
        <v>45778</v>
      </c>
      <c r="OA5" s="30">
        <f ca="1">DATE(YEAR(OA$1),MONTH(OA$1)+InfoM!$H2,InfoM!$I2)</f>
        <v>45809</v>
      </c>
      <c r="OB5" s="30">
        <f ca="1">DATE(YEAR(OB$1),MONTH(OB$1)+InfoM!$H2,InfoM!$I2)</f>
        <v>45839</v>
      </c>
      <c r="OC5" s="30">
        <f ca="1">DATE(YEAR(OC$1),MONTH(OC$1)+InfoM!$H2,InfoM!$I2)</f>
        <v>45870</v>
      </c>
      <c r="OD5" s="30">
        <f ca="1">DATE(YEAR(OD$1),MONTH(OD$1)+InfoM!$H2,InfoM!$I2)</f>
        <v>45901</v>
      </c>
      <c r="OE5" s="30">
        <f ca="1">DATE(YEAR(OE$1),MONTH(OE$1)+InfoM!$H2,InfoM!$I2)</f>
        <v>45931</v>
      </c>
      <c r="OF5" s="30">
        <f ca="1">DATE(YEAR(OF$1),MONTH(OF$1)+InfoM!$H2,InfoM!$I2)</f>
        <v>45962</v>
      </c>
      <c r="OG5" s="30">
        <f ca="1">DATE(YEAR(OG$1),MONTH(OG$1)+InfoM!$H2,InfoM!$I2)</f>
        <v>45992</v>
      </c>
      <c r="OH5" s="30">
        <f ca="1">DATE(YEAR(OH$1),MONTH(OH$1)+InfoM!$H2,InfoM!$I2)</f>
        <v>46023</v>
      </c>
      <c r="OI5" s="30">
        <f ca="1">DATE(YEAR(OI$1),MONTH(OI$1)+InfoM!$H2,InfoM!$I2)</f>
        <v>46054</v>
      </c>
      <c r="OJ5" s="30">
        <f ca="1">DATE(YEAR(OJ$1),MONTH(OJ$1)+InfoM!$H2,InfoM!$I2)</f>
        <v>46082</v>
      </c>
      <c r="OK5" s="30">
        <f ca="1">DATE(YEAR(OK$1),MONTH(OK$1)+InfoM!$H2,InfoM!$I2)</f>
        <v>46113</v>
      </c>
      <c r="OL5" s="30">
        <f ca="1">DATE(YEAR(OL$1),MONTH(OL$1)+InfoM!$H2,InfoM!$I2)</f>
        <v>46143</v>
      </c>
      <c r="OM5" s="30">
        <f ca="1">DATE(YEAR(OM$1),MONTH(OM$1)+InfoM!$H2,InfoM!$I2)</f>
        <v>46174</v>
      </c>
      <c r="ON5" s="30">
        <f ca="1">DATE(YEAR(ON$1),MONTH(ON$1)+InfoM!$H2,InfoM!$I2)</f>
        <v>46204</v>
      </c>
      <c r="OO5" s="30">
        <f ca="1">DATE(YEAR(OO$1),MONTH(OO$1)+InfoM!$H2,InfoM!$I2)</f>
        <v>46235</v>
      </c>
      <c r="OP5" s="30">
        <f ca="1">DATE(YEAR(OP$1),MONTH(OP$1)+InfoM!$H2,InfoM!$I2)</f>
        <v>46266</v>
      </c>
      <c r="OQ5" s="30">
        <f ca="1">DATE(YEAR(OQ$1),MONTH(OQ$1)+InfoM!$H2,InfoM!$I2)</f>
        <v>46296</v>
      </c>
      <c r="OR5" s="30">
        <f ca="1">DATE(YEAR(OR$1),MONTH(OR$1)+InfoM!$H2,InfoM!$I2)</f>
        <v>46327</v>
      </c>
      <c r="OS5" s="30">
        <f ca="1">DATE(YEAR(OS$1),MONTH(OS$1)+InfoM!$H2,InfoM!$I2)</f>
        <v>46357</v>
      </c>
      <c r="OT5" s="30">
        <f ca="1">DATE(YEAR(OT$1),MONTH(OT$1)+InfoM!$H2,InfoM!$I2)</f>
        <v>46388</v>
      </c>
    </row>
    <row r="6" spans="1:410" x14ac:dyDescent="0.35">
      <c r="A6" s="19" t="str">
        <f>InfoM!A3</f>
        <v>M2</v>
      </c>
      <c r="B6">
        <f>InfoM!G3</f>
        <v>1</v>
      </c>
      <c r="C6" s="30">
        <f>DATE(YEAR(C$1),MONTH(C$1)+InfoM!$H3,InfoM!$I3)</f>
        <v>34021</v>
      </c>
      <c r="D6" s="30">
        <f ca="1">DATE(YEAR(D$1),MONTH(D$1)+InfoM!$H3,InfoM!$I3)</f>
        <v>34049</v>
      </c>
      <c r="E6" s="30">
        <f ca="1">DATE(YEAR(E$1),MONTH(E$1)+InfoM!$H3,InfoM!$I3)</f>
        <v>34080</v>
      </c>
      <c r="F6" s="30">
        <f ca="1">DATE(YEAR(F$1),MONTH(F$1)+InfoM!$H3,InfoM!$I3)</f>
        <v>34110</v>
      </c>
      <c r="G6" s="30">
        <f ca="1">DATE(YEAR(G$1),MONTH(G$1)+InfoM!$H3,InfoM!$I3)</f>
        <v>34141</v>
      </c>
      <c r="H6" s="30">
        <f ca="1">DATE(YEAR(H$1),MONTH(H$1)+InfoM!$H3,InfoM!$I3)</f>
        <v>34171</v>
      </c>
      <c r="I6" s="30">
        <f ca="1">DATE(YEAR(I$1),MONTH(I$1)+InfoM!$H3,InfoM!$I3)</f>
        <v>34202</v>
      </c>
      <c r="J6" s="30">
        <f ca="1">DATE(YEAR(J$1),MONTH(J$1)+InfoM!$H3,InfoM!$I3)</f>
        <v>34233</v>
      </c>
      <c r="K6" s="30">
        <f ca="1">DATE(YEAR(K$1),MONTH(K$1)+InfoM!$H3,InfoM!$I3)</f>
        <v>34263</v>
      </c>
      <c r="L6" s="30">
        <f ca="1">DATE(YEAR(L$1),MONTH(L$1)+InfoM!$H3,InfoM!$I3)</f>
        <v>34294</v>
      </c>
      <c r="M6" s="30">
        <f ca="1">DATE(YEAR(M$1),MONTH(M$1)+InfoM!$H3,InfoM!$I3)</f>
        <v>34324</v>
      </c>
      <c r="N6" s="30">
        <f ca="1">DATE(YEAR(N$1),MONTH(N$1)+InfoM!$H3,InfoM!$I3)</f>
        <v>34355</v>
      </c>
      <c r="O6" s="30">
        <f ca="1">DATE(YEAR(O$1),MONTH(O$1)+InfoM!$H3,InfoM!$I3)</f>
        <v>34386</v>
      </c>
      <c r="P6" s="30">
        <f ca="1">DATE(YEAR(P$1),MONTH(P$1)+InfoM!$H3,InfoM!$I3)</f>
        <v>34414</v>
      </c>
      <c r="Q6" s="30">
        <f ca="1">DATE(YEAR(Q$1),MONTH(Q$1)+InfoM!$H3,InfoM!$I3)</f>
        <v>34445</v>
      </c>
      <c r="R6" s="30">
        <f ca="1">DATE(YEAR(R$1),MONTH(R$1)+InfoM!$H3,InfoM!$I3)</f>
        <v>34475</v>
      </c>
      <c r="S6" s="30">
        <f ca="1">DATE(YEAR(S$1),MONTH(S$1)+InfoM!$H3,InfoM!$I3)</f>
        <v>34506</v>
      </c>
      <c r="T6" s="30">
        <f ca="1">DATE(YEAR(T$1),MONTH(T$1)+InfoM!$H3,InfoM!$I3)</f>
        <v>34536</v>
      </c>
      <c r="U6" s="30">
        <f ca="1">DATE(YEAR(U$1),MONTH(U$1)+InfoM!$H3,InfoM!$I3)</f>
        <v>34567</v>
      </c>
      <c r="V6" s="30">
        <f ca="1">DATE(YEAR(V$1),MONTH(V$1)+InfoM!$H3,InfoM!$I3)</f>
        <v>34598</v>
      </c>
      <c r="W6" s="30">
        <f ca="1">DATE(YEAR(W$1),MONTH(W$1)+InfoM!$H3,InfoM!$I3)</f>
        <v>34628</v>
      </c>
      <c r="X6" s="30">
        <f ca="1">DATE(YEAR(X$1),MONTH(X$1)+InfoM!$H3,InfoM!$I3)</f>
        <v>34659</v>
      </c>
      <c r="Y6" s="30">
        <f ca="1">DATE(YEAR(Y$1),MONTH(Y$1)+InfoM!$H3,InfoM!$I3)</f>
        <v>34689</v>
      </c>
      <c r="Z6" s="30">
        <f ca="1">DATE(YEAR(Z$1),MONTH(Z$1)+InfoM!$H3,InfoM!$I3)</f>
        <v>34720</v>
      </c>
      <c r="AA6" s="30">
        <f ca="1">DATE(YEAR(AA$1),MONTH(AA$1)+InfoM!$H3,InfoM!$I3)</f>
        <v>34751</v>
      </c>
      <c r="AB6" s="30">
        <f ca="1">DATE(YEAR(AB$1),MONTH(AB$1)+InfoM!$H3,InfoM!$I3)</f>
        <v>34779</v>
      </c>
      <c r="AC6" s="30">
        <f ca="1">DATE(YEAR(AC$1),MONTH(AC$1)+InfoM!$H3,InfoM!$I3)</f>
        <v>34810</v>
      </c>
      <c r="AD6" s="30">
        <f ca="1">DATE(YEAR(AD$1),MONTH(AD$1)+InfoM!$H3,InfoM!$I3)</f>
        <v>34840</v>
      </c>
      <c r="AE6" s="30">
        <f ca="1">DATE(YEAR(AE$1),MONTH(AE$1)+InfoM!$H3,InfoM!$I3)</f>
        <v>34871</v>
      </c>
      <c r="AF6" s="30">
        <f ca="1">DATE(YEAR(AF$1),MONTH(AF$1)+InfoM!$H3,InfoM!$I3)</f>
        <v>34901</v>
      </c>
      <c r="AG6" s="30">
        <f ca="1">DATE(YEAR(AG$1),MONTH(AG$1)+InfoM!$H3,InfoM!$I3)</f>
        <v>34932</v>
      </c>
      <c r="AH6" s="30">
        <f ca="1">DATE(YEAR(AH$1),MONTH(AH$1)+InfoM!$H3,InfoM!$I3)</f>
        <v>34963</v>
      </c>
      <c r="AI6" s="30">
        <f ca="1">DATE(YEAR(AI$1),MONTH(AI$1)+InfoM!$H3,InfoM!$I3)</f>
        <v>34993</v>
      </c>
      <c r="AJ6" s="30">
        <f ca="1">DATE(YEAR(AJ$1),MONTH(AJ$1)+InfoM!$H3,InfoM!$I3)</f>
        <v>35024</v>
      </c>
      <c r="AK6" s="30">
        <f ca="1">DATE(YEAR(AK$1),MONTH(AK$1)+InfoM!$H3,InfoM!$I3)</f>
        <v>35054</v>
      </c>
      <c r="AL6" s="30">
        <f ca="1">DATE(YEAR(AL$1),MONTH(AL$1)+InfoM!$H3,InfoM!$I3)</f>
        <v>35085</v>
      </c>
      <c r="AM6" s="30">
        <f ca="1">DATE(YEAR(AM$1),MONTH(AM$1)+InfoM!$H3,InfoM!$I3)</f>
        <v>35116</v>
      </c>
      <c r="AN6" s="30">
        <f ca="1">DATE(YEAR(AN$1),MONTH(AN$1)+InfoM!$H3,InfoM!$I3)</f>
        <v>35145</v>
      </c>
      <c r="AO6" s="30">
        <f ca="1">DATE(YEAR(AO$1),MONTH(AO$1)+InfoM!$H3,InfoM!$I3)</f>
        <v>35176</v>
      </c>
      <c r="AP6" s="30">
        <f ca="1">DATE(YEAR(AP$1),MONTH(AP$1)+InfoM!$H3,InfoM!$I3)</f>
        <v>35206</v>
      </c>
      <c r="AQ6" s="30">
        <f ca="1">DATE(YEAR(AQ$1),MONTH(AQ$1)+InfoM!$H3,InfoM!$I3)</f>
        <v>35237</v>
      </c>
      <c r="AR6" s="30">
        <f ca="1">DATE(YEAR(AR$1),MONTH(AR$1)+InfoM!$H3,InfoM!$I3)</f>
        <v>35267</v>
      </c>
      <c r="AS6" s="30">
        <f ca="1">DATE(YEAR(AS$1),MONTH(AS$1)+InfoM!$H3,InfoM!$I3)</f>
        <v>35298</v>
      </c>
      <c r="AT6" s="30">
        <f ca="1">DATE(YEAR(AT$1),MONTH(AT$1)+InfoM!$H3,InfoM!$I3)</f>
        <v>35329</v>
      </c>
      <c r="AU6" s="30">
        <f ca="1">DATE(YEAR(AU$1),MONTH(AU$1)+InfoM!$H3,InfoM!$I3)</f>
        <v>35359</v>
      </c>
      <c r="AV6" s="30">
        <f ca="1">DATE(YEAR(AV$1),MONTH(AV$1)+InfoM!$H3,InfoM!$I3)</f>
        <v>35390</v>
      </c>
      <c r="AW6" s="30">
        <f ca="1">DATE(YEAR(AW$1),MONTH(AW$1)+InfoM!$H3,InfoM!$I3)</f>
        <v>35420</v>
      </c>
      <c r="AX6" s="30">
        <f ca="1">DATE(YEAR(AX$1),MONTH(AX$1)+InfoM!$H3,InfoM!$I3)</f>
        <v>35451</v>
      </c>
      <c r="AY6" s="30">
        <f ca="1">DATE(YEAR(AY$1),MONTH(AY$1)+InfoM!$H3,InfoM!$I3)</f>
        <v>35482</v>
      </c>
      <c r="AZ6" s="30">
        <f ca="1">DATE(YEAR(AZ$1),MONTH(AZ$1)+InfoM!$H3,InfoM!$I3)</f>
        <v>35510</v>
      </c>
      <c r="BA6" s="30">
        <f ca="1">DATE(YEAR(BA$1),MONTH(BA$1)+InfoM!$H3,InfoM!$I3)</f>
        <v>35541</v>
      </c>
      <c r="BB6" s="30">
        <f ca="1">DATE(YEAR(BB$1),MONTH(BB$1)+InfoM!$H3,InfoM!$I3)</f>
        <v>35571</v>
      </c>
      <c r="BC6" s="30">
        <f ca="1">DATE(YEAR(BC$1),MONTH(BC$1)+InfoM!$H3,InfoM!$I3)</f>
        <v>35602</v>
      </c>
      <c r="BD6" s="30">
        <f ca="1">DATE(YEAR(BD$1),MONTH(BD$1)+InfoM!$H3,InfoM!$I3)</f>
        <v>35632</v>
      </c>
      <c r="BE6" s="30">
        <f ca="1">DATE(YEAR(BE$1),MONTH(BE$1)+InfoM!$H3,InfoM!$I3)</f>
        <v>35663</v>
      </c>
      <c r="BF6" s="30">
        <f ca="1">DATE(YEAR(BF$1),MONTH(BF$1)+InfoM!$H3,InfoM!$I3)</f>
        <v>35694</v>
      </c>
      <c r="BG6" s="30">
        <f ca="1">DATE(YEAR(BG$1),MONTH(BG$1)+InfoM!$H3,InfoM!$I3)</f>
        <v>35724</v>
      </c>
      <c r="BH6" s="30">
        <f ca="1">DATE(YEAR(BH$1),MONTH(BH$1)+InfoM!$H3,InfoM!$I3)</f>
        <v>35755</v>
      </c>
      <c r="BI6" s="30">
        <f ca="1">DATE(YEAR(BI$1),MONTH(BI$1)+InfoM!$H3,InfoM!$I3)</f>
        <v>35785</v>
      </c>
      <c r="BJ6" s="30">
        <f ca="1">DATE(YEAR(BJ$1),MONTH(BJ$1)+InfoM!$H3,InfoM!$I3)</f>
        <v>35816</v>
      </c>
      <c r="BK6" s="30">
        <f ca="1">DATE(YEAR(BK$1),MONTH(BK$1)+InfoM!$H3,InfoM!$I3)</f>
        <v>35847</v>
      </c>
      <c r="BL6" s="30">
        <f ca="1">DATE(YEAR(BL$1),MONTH(BL$1)+InfoM!$H3,InfoM!$I3)</f>
        <v>35875</v>
      </c>
      <c r="BM6" s="30">
        <f ca="1">DATE(YEAR(BM$1),MONTH(BM$1)+InfoM!$H3,InfoM!$I3)</f>
        <v>35906</v>
      </c>
      <c r="BN6" s="30">
        <f ca="1">DATE(YEAR(BN$1),MONTH(BN$1)+InfoM!$H3,InfoM!$I3)</f>
        <v>35936</v>
      </c>
      <c r="BO6" s="30">
        <f ca="1">DATE(YEAR(BO$1),MONTH(BO$1)+InfoM!$H3,InfoM!$I3)</f>
        <v>35967</v>
      </c>
      <c r="BP6" s="30">
        <f ca="1">DATE(YEAR(BP$1),MONTH(BP$1)+InfoM!$H3,InfoM!$I3)</f>
        <v>35997</v>
      </c>
      <c r="BQ6" s="30">
        <f ca="1">DATE(YEAR(BQ$1),MONTH(BQ$1)+InfoM!$H3,InfoM!$I3)</f>
        <v>36028</v>
      </c>
      <c r="BR6" s="30">
        <f ca="1">DATE(YEAR(BR$1),MONTH(BR$1)+InfoM!$H3,InfoM!$I3)</f>
        <v>36059</v>
      </c>
      <c r="BS6" s="30">
        <f ca="1">DATE(YEAR(BS$1),MONTH(BS$1)+InfoM!$H3,InfoM!$I3)</f>
        <v>36089</v>
      </c>
      <c r="BT6" s="30">
        <f ca="1">DATE(YEAR(BT$1),MONTH(BT$1)+InfoM!$H3,InfoM!$I3)</f>
        <v>36120</v>
      </c>
      <c r="BU6" s="30">
        <f ca="1">DATE(YEAR(BU$1),MONTH(BU$1)+InfoM!$H3,InfoM!$I3)</f>
        <v>36150</v>
      </c>
      <c r="BV6" s="30">
        <f ca="1">DATE(YEAR(BV$1),MONTH(BV$1)+InfoM!$H3,InfoM!$I3)</f>
        <v>36181</v>
      </c>
      <c r="BW6" s="30">
        <f ca="1">DATE(YEAR(BW$1),MONTH(BW$1)+InfoM!$H3,InfoM!$I3)</f>
        <v>36212</v>
      </c>
      <c r="BX6" s="30">
        <f ca="1">DATE(YEAR(BX$1),MONTH(BX$1)+InfoM!$H3,InfoM!$I3)</f>
        <v>36240</v>
      </c>
      <c r="BY6" s="30">
        <f ca="1">DATE(YEAR(BY$1),MONTH(BY$1)+InfoM!$H3,InfoM!$I3)</f>
        <v>36271</v>
      </c>
      <c r="BZ6" s="30">
        <f ca="1">DATE(YEAR(BZ$1),MONTH(BZ$1)+InfoM!$H3,InfoM!$I3)</f>
        <v>36301</v>
      </c>
      <c r="CA6" s="30">
        <f ca="1">DATE(YEAR(CA$1),MONTH(CA$1)+InfoM!$H3,InfoM!$I3)</f>
        <v>36332</v>
      </c>
      <c r="CB6" s="30">
        <f ca="1">DATE(YEAR(CB$1),MONTH(CB$1)+InfoM!$H3,InfoM!$I3)</f>
        <v>36362</v>
      </c>
      <c r="CC6" s="30">
        <f ca="1">DATE(YEAR(CC$1),MONTH(CC$1)+InfoM!$H3,InfoM!$I3)</f>
        <v>36393</v>
      </c>
      <c r="CD6" s="30">
        <f ca="1">DATE(YEAR(CD$1),MONTH(CD$1)+InfoM!$H3,InfoM!$I3)</f>
        <v>36424</v>
      </c>
      <c r="CE6" s="30">
        <f ca="1">DATE(YEAR(CE$1),MONTH(CE$1)+InfoM!$H3,InfoM!$I3)</f>
        <v>36454</v>
      </c>
      <c r="CF6" s="30">
        <f ca="1">DATE(YEAR(CF$1),MONTH(CF$1)+InfoM!$H3,InfoM!$I3)</f>
        <v>36485</v>
      </c>
      <c r="CG6" s="30">
        <f ca="1">DATE(YEAR(CG$1),MONTH(CG$1)+InfoM!$H3,InfoM!$I3)</f>
        <v>36515</v>
      </c>
      <c r="CH6" s="30">
        <f ca="1">DATE(YEAR(CH$1),MONTH(CH$1)+InfoM!$H3,InfoM!$I3)</f>
        <v>36546</v>
      </c>
      <c r="CI6" s="30">
        <f ca="1">DATE(YEAR(CI$1),MONTH(CI$1)+InfoM!$H3,InfoM!$I3)</f>
        <v>36577</v>
      </c>
      <c r="CJ6" s="30">
        <f ca="1">DATE(YEAR(CJ$1),MONTH(CJ$1)+InfoM!$H3,InfoM!$I3)</f>
        <v>36606</v>
      </c>
      <c r="CK6" s="30">
        <f ca="1">DATE(YEAR(CK$1),MONTH(CK$1)+InfoM!$H3,InfoM!$I3)</f>
        <v>36637</v>
      </c>
      <c r="CL6" s="30">
        <f ca="1">DATE(YEAR(CL$1),MONTH(CL$1)+InfoM!$H3,InfoM!$I3)</f>
        <v>36667</v>
      </c>
      <c r="CM6" s="30">
        <f ca="1">DATE(YEAR(CM$1),MONTH(CM$1)+InfoM!$H3,InfoM!$I3)</f>
        <v>36698</v>
      </c>
      <c r="CN6" s="30">
        <f ca="1">DATE(YEAR(CN$1),MONTH(CN$1)+InfoM!$H3,InfoM!$I3)</f>
        <v>36728</v>
      </c>
      <c r="CO6" s="30">
        <f ca="1">DATE(YEAR(CO$1),MONTH(CO$1)+InfoM!$H3,InfoM!$I3)</f>
        <v>36759</v>
      </c>
      <c r="CP6" s="30">
        <f ca="1">DATE(YEAR(CP$1),MONTH(CP$1)+InfoM!$H3,InfoM!$I3)</f>
        <v>36790</v>
      </c>
      <c r="CQ6" s="30">
        <f ca="1">DATE(YEAR(CQ$1),MONTH(CQ$1)+InfoM!$H3,InfoM!$I3)</f>
        <v>36820</v>
      </c>
      <c r="CR6" s="30">
        <f ca="1">DATE(YEAR(CR$1),MONTH(CR$1)+InfoM!$H3,InfoM!$I3)</f>
        <v>36851</v>
      </c>
      <c r="CS6" s="30">
        <f ca="1">DATE(YEAR(CS$1),MONTH(CS$1)+InfoM!$H3,InfoM!$I3)</f>
        <v>36881</v>
      </c>
      <c r="CT6" s="30">
        <f ca="1">DATE(YEAR(CT$1),MONTH(CT$1)+InfoM!$H3,InfoM!$I3)</f>
        <v>36912</v>
      </c>
      <c r="CU6" s="30">
        <f ca="1">DATE(YEAR(CU$1),MONTH(CU$1)+InfoM!$H3,InfoM!$I3)</f>
        <v>36943</v>
      </c>
      <c r="CV6" s="30">
        <f ca="1">DATE(YEAR(CV$1),MONTH(CV$1)+InfoM!$H3,InfoM!$I3)</f>
        <v>36971</v>
      </c>
      <c r="CW6" s="30">
        <f ca="1">DATE(YEAR(CW$1),MONTH(CW$1)+InfoM!$H3,InfoM!$I3)</f>
        <v>37002</v>
      </c>
      <c r="CX6" s="30">
        <f ca="1">DATE(YEAR(CX$1),MONTH(CX$1)+InfoM!$H3,InfoM!$I3)</f>
        <v>37032</v>
      </c>
      <c r="CY6" s="30">
        <f ca="1">DATE(YEAR(CY$1),MONTH(CY$1)+InfoM!$H3,InfoM!$I3)</f>
        <v>37063</v>
      </c>
      <c r="CZ6" s="30">
        <f ca="1">DATE(YEAR(CZ$1),MONTH(CZ$1)+InfoM!$H3,InfoM!$I3)</f>
        <v>37093</v>
      </c>
      <c r="DA6" s="30">
        <f ca="1">DATE(YEAR(DA$1),MONTH(DA$1)+InfoM!$H3,InfoM!$I3)</f>
        <v>37124</v>
      </c>
      <c r="DB6" s="30">
        <f ca="1">DATE(YEAR(DB$1),MONTH(DB$1)+InfoM!$H3,InfoM!$I3)</f>
        <v>37155</v>
      </c>
      <c r="DC6" s="30">
        <f ca="1">DATE(YEAR(DC$1),MONTH(DC$1)+InfoM!$H3,InfoM!$I3)</f>
        <v>37185</v>
      </c>
      <c r="DD6" s="30">
        <f ca="1">DATE(YEAR(DD$1),MONTH(DD$1)+InfoM!$H3,InfoM!$I3)</f>
        <v>37216</v>
      </c>
      <c r="DE6" s="30">
        <f ca="1">DATE(YEAR(DE$1),MONTH(DE$1)+InfoM!$H3,InfoM!$I3)</f>
        <v>37246</v>
      </c>
      <c r="DF6" s="30">
        <f ca="1">DATE(YEAR(DF$1),MONTH(DF$1)+InfoM!$H3,InfoM!$I3)</f>
        <v>37277</v>
      </c>
      <c r="DG6" s="30">
        <f ca="1">DATE(YEAR(DG$1),MONTH(DG$1)+InfoM!$H3,InfoM!$I3)</f>
        <v>37308</v>
      </c>
      <c r="DH6" s="30">
        <f ca="1">DATE(YEAR(DH$1),MONTH(DH$1)+InfoM!$H3,InfoM!$I3)</f>
        <v>37336</v>
      </c>
      <c r="DI6" s="30">
        <f ca="1">DATE(YEAR(DI$1),MONTH(DI$1)+InfoM!$H3,InfoM!$I3)</f>
        <v>37367</v>
      </c>
      <c r="DJ6" s="30">
        <f ca="1">DATE(YEAR(DJ$1),MONTH(DJ$1)+InfoM!$H3,InfoM!$I3)</f>
        <v>37397</v>
      </c>
      <c r="DK6" s="30">
        <f ca="1">DATE(YEAR(DK$1),MONTH(DK$1)+InfoM!$H3,InfoM!$I3)</f>
        <v>37428</v>
      </c>
      <c r="DL6" s="30">
        <f ca="1">DATE(YEAR(DL$1),MONTH(DL$1)+InfoM!$H3,InfoM!$I3)</f>
        <v>37458</v>
      </c>
      <c r="DM6" s="30">
        <f ca="1">DATE(YEAR(DM$1),MONTH(DM$1)+InfoM!$H3,InfoM!$I3)</f>
        <v>37489</v>
      </c>
      <c r="DN6" s="30">
        <f ca="1">DATE(YEAR(DN$1),MONTH(DN$1)+InfoM!$H3,InfoM!$I3)</f>
        <v>37520</v>
      </c>
      <c r="DO6" s="30">
        <f ca="1">DATE(YEAR(DO$1),MONTH(DO$1)+InfoM!$H3,InfoM!$I3)</f>
        <v>37550</v>
      </c>
      <c r="DP6" s="30">
        <f ca="1">DATE(YEAR(DP$1),MONTH(DP$1)+InfoM!$H3,InfoM!$I3)</f>
        <v>37581</v>
      </c>
      <c r="DQ6" s="30">
        <f ca="1">DATE(YEAR(DQ$1),MONTH(DQ$1)+InfoM!$H3,InfoM!$I3)</f>
        <v>37611</v>
      </c>
      <c r="DR6" s="30">
        <f ca="1">DATE(YEAR(DR$1),MONTH(DR$1)+InfoM!$H3,InfoM!$I3)</f>
        <v>37642</v>
      </c>
      <c r="DS6" s="30">
        <f ca="1">DATE(YEAR(DS$1),MONTH(DS$1)+InfoM!$H3,InfoM!$I3)</f>
        <v>37673</v>
      </c>
      <c r="DT6" s="30">
        <f ca="1">DATE(YEAR(DT$1),MONTH(DT$1)+InfoM!$H3,InfoM!$I3)</f>
        <v>37701</v>
      </c>
      <c r="DU6" s="30">
        <f ca="1">DATE(YEAR(DU$1),MONTH(DU$1)+InfoM!$H3,InfoM!$I3)</f>
        <v>37732</v>
      </c>
      <c r="DV6" s="30">
        <f ca="1">DATE(YEAR(DV$1),MONTH(DV$1)+InfoM!$H3,InfoM!$I3)</f>
        <v>37762</v>
      </c>
      <c r="DW6" s="30">
        <f ca="1">DATE(YEAR(DW$1),MONTH(DW$1)+InfoM!$H3,InfoM!$I3)</f>
        <v>37793</v>
      </c>
      <c r="DX6" s="30">
        <f ca="1">DATE(YEAR(DX$1),MONTH(DX$1)+InfoM!$H3,InfoM!$I3)</f>
        <v>37823</v>
      </c>
      <c r="DY6" s="30">
        <f ca="1">DATE(YEAR(DY$1),MONTH(DY$1)+InfoM!$H3,InfoM!$I3)</f>
        <v>37854</v>
      </c>
      <c r="DZ6" s="30">
        <f ca="1">DATE(YEAR(DZ$1),MONTH(DZ$1)+InfoM!$H3,InfoM!$I3)</f>
        <v>37885</v>
      </c>
      <c r="EA6" s="30">
        <f ca="1">DATE(YEAR(EA$1),MONTH(EA$1)+InfoM!$H3,InfoM!$I3)</f>
        <v>37915</v>
      </c>
      <c r="EB6" s="30">
        <f ca="1">DATE(YEAR(EB$1),MONTH(EB$1)+InfoM!$H3,InfoM!$I3)</f>
        <v>37946</v>
      </c>
      <c r="EC6" s="30">
        <f ca="1">DATE(YEAR(EC$1),MONTH(EC$1)+InfoM!$H3,InfoM!$I3)</f>
        <v>37976</v>
      </c>
      <c r="ED6" s="30">
        <f ca="1">DATE(YEAR(ED$1),MONTH(ED$1)+InfoM!$H3,InfoM!$I3)</f>
        <v>38007</v>
      </c>
      <c r="EE6" s="30">
        <f ca="1">DATE(YEAR(EE$1),MONTH(EE$1)+InfoM!$H3,InfoM!$I3)</f>
        <v>38038</v>
      </c>
      <c r="EF6" s="30">
        <f ca="1">DATE(YEAR(EF$1),MONTH(EF$1)+InfoM!$H3,InfoM!$I3)</f>
        <v>38067</v>
      </c>
      <c r="EG6" s="30">
        <f ca="1">DATE(YEAR(EG$1),MONTH(EG$1)+InfoM!$H3,InfoM!$I3)</f>
        <v>38098</v>
      </c>
      <c r="EH6" s="30">
        <f ca="1">DATE(YEAR(EH$1),MONTH(EH$1)+InfoM!$H3,InfoM!$I3)</f>
        <v>38128</v>
      </c>
      <c r="EI6" s="30">
        <f ca="1">DATE(YEAR(EI$1),MONTH(EI$1)+InfoM!$H3,InfoM!$I3)</f>
        <v>38159</v>
      </c>
      <c r="EJ6" s="30">
        <f ca="1">DATE(YEAR(EJ$1),MONTH(EJ$1)+InfoM!$H3,InfoM!$I3)</f>
        <v>38189</v>
      </c>
      <c r="EK6" s="30">
        <f ca="1">DATE(YEAR(EK$1),MONTH(EK$1)+InfoM!$H3,InfoM!$I3)</f>
        <v>38220</v>
      </c>
      <c r="EL6" s="30">
        <f ca="1">DATE(YEAR(EL$1),MONTH(EL$1)+InfoM!$H3,InfoM!$I3)</f>
        <v>38251</v>
      </c>
      <c r="EM6" s="30">
        <f ca="1">DATE(YEAR(EM$1),MONTH(EM$1)+InfoM!$H3,InfoM!$I3)</f>
        <v>38281</v>
      </c>
      <c r="EN6" s="30">
        <f ca="1">DATE(YEAR(EN$1),MONTH(EN$1)+InfoM!$H3,InfoM!$I3)</f>
        <v>38312</v>
      </c>
      <c r="EO6" s="30">
        <f ca="1">DATE(YEAR(EO$1),MONTH(EO$1)+InfoM!$H3,InfoM!$I3)</f>
        <v>38342</v>
      </c>
      <c r="EP6" s="30">
        <f ca="1">DATE(YEAR(EP$1),MONTH(EP$1)+InfoM!$H3,InfoM!$I3)</f>
        <v>38373</v>
      </c>
      <c r="EQ6" s="30">
        <f ca="1">DATE(YEAR(EQ$1),MONTH(EQ$1)+InfoM!$H3,InfoM!$I3)</f>
        <v>38404</v>
      </c>
      <c r="ER6" s="30">
        <f ca="1">DATE(YEAR(ER$1),MONTH(ER$1)+InfoM!$H3,InfoM!$I3)</f>
        <v>38432</v>
      </c>
      <c r="ES6" s="30">
        <f ca="1">DATE(YEAR(ES$1),MONTH(ES$1)+InfoM!$H3,InfoM!$I3)</f>
        <v>38463</v>
      </c>
      <c r="ET6" s="30">
        <f ca="1">DATE(YEAR(ET$1),MONTH(ET$1)+InfoM!$H3,InfoM!$I3)</f>
        <v>38493</v>
      </c>
      <c r="EU6" s="30">
        <f ca="1">DATE(YEAR(EU$1),MONTH(EU$1)+InfoM!$H3,InfoM!$I3)</f>
        <v>38524</v>
      </c>
      <c r="EV6" s="30">
        <f ca="1">DATE(YEAR(EV$1),MONTH(EV$1)+InfoM!$H3,InfoM!$I3)</f>
        <v>38554</v>
      </c>
      <c r="EW6" s="30">
        <f ca="1">DATE(YEAR(EW$1),MONTH(EW$1)+InfoM!$H3,InfoM!$I3)</f>
        <v>38585</v>
      </c>
      <c r="EX6" s="30">
        <f ca="1">DATE(YEAR(EX$1),MONTH(EX$1)+InfoM!$H3,InfoM!$I3)</f>
        <v>38616</v>
      </c>
      <c r="EY6" s="30">
        <f ca="1">DATE(YEAR(EY$1),MONTH(EY$1)+InfoM!$H3,InfoM!$I3)</f>
        <v>38646</v>
      </c>
      <c r="EZ6" s="30">
        <f ca="1">DATE(YEAR(EZ$1),MONTH(EZ$1)+InfoM!$H3,InfoM!$I3)</f>
        <v>38677</v>
      </c>
      <c r="FA6" s="30">
        <f ca="1">DATE(YEAR(FA$1),MONTH(FA$1)+InfoM!$H3,InfoM!$I3)</f>
        <v>38707</v>
      </c>
      <c r="FB6" s="30">
        <f ca="1">DATE(YEAR(FB$1),MONTH(FB$1)+InfoM!$H3,InfoM!$I3)</f>
        <v>38738</v>
      </c>
      <c r="FC6" s="30">
        <f ca="1">DATE(YEAR(FC$1),MONTH(FC$1)+InfoM!$H3,InfoM!$I3)</f>
        <v>38769</v>
      </c>
      <c r="FD6" s="30">
        <f ca="1">DATE(YEAR(FD$1),MONTH(FD$1)+InfoM!$H3,InfoM!$I3)</f>
        <v>38797</v>
      </c>
      <c r="FE6" s="30">
        <f ca="1">DATE(YEAR(FE$1),MONTH(FE$1)+InfoM!$H3,InfoM!$I3)</f>
        <v>38828</v>
      </c>
      <c r="FF6" s="30">
        <f ca="1">DATE(YEAR(FF$1),MONTH(FF$1)+InfoM!$H3,InfoM!$I3)</f>
        <v>38858</v>
      </c>
      <c r="FG6" s="30">
        <f ca="1">DATE(YEAR(FG$1),MONTH(FG$1)+InfoM!$H3,InfoM!$I3)</f>
        <v>38889</v>
      </c>
      <c r="FH6" s="30">
        <f ca="1">DATE(YEAR(FH$1),MONTH(FH$1)+InfoM!$H3,InfoM!$I3)</f>
        <v>38919</v>
      </c>
      <c r="FI6" s="30">
        <f ca="1">DATE(YEAR(FI$1),MONTH(FI$1)+InfoM!$H3,InfoM!$I3)</f>
        <v>38950</v>
      </c>
      <c r="FJ6" s="30">
        <f ca="1">DATE(YEAR(FJ$1),MONTH(FJ$1)+InfoM!$H3,InfoM!$I3)</f>
        <v>38981</v>
      </c>
      <c r="FK6" s="30">
        <f ca="1">DATE(YEAR(FK$1),MONTH(FK$1)+InfoM!$H3,InfoM!$I3)</f>
        <v>39011</v>
      </c>
      <c r="FL6" s="30">
        <f ca="1">DATE(YEAR(FL$1),MONTH(FL$1)+InfoM!$H3,InfoM!$I3)</f>
        <v>39042</v>
      </c>
      <c r="FM6" s="30">
        <f ca="1">DATE(YEAR(FM$1),MONTH(FM$1)+InfoM!$H3,InfoM!$I3)</f>
        <v>39072</v>
      </c>
      <c r="FN6" s="30">
        <f ca="1">DATE(YEAR(FN$1),MONTH(FN$1)+InfoM!$H3,InfoM!$I3)</f>
        <v>39103</v>
      </c>
      <c r="FO6" s="30">
        <f ca="1">DATE(YEAR(FO$1),MONTH(FO$1)+InfoM!$H3,InfoM!$I3)</f>
        <v>39134</v>
      </c>
      <c r="FP6" s="30">
        <f ca="1">DATE(YEAR(FP$1),MONTH(FP$1)+InfoM!$H3,InfoM!$I3)</f>
        <v>39162</v>
      </c>
      <c r="FQ6" s="30">
        <f ca="1">DATE(YEAR(FQ$1),MONTH(FQ$1)+InfoM!$H3,InfoM!$I3)</f>
        <v>39193</v>
      </c>
      <c r="FR6" s="30">
        <f ca="1">DATE(YEAR(FR$1),MONTH(FR$1)+InfoM!$H3,InfoM!$I3)</f>
        <v>39223</v>
      </c>
      <c r="FS6" s="30">
        <f ca="1">DATE(YEAR(FS$1),MONTH(FS$1)+InfoM!$H3,InfoM!$I3)</f>
        <v>39254</v>
      </c>
      <c r="FT6" s="30">
        <f ca="1">DATE(YEAR(FT$1),MONTH(FT$1)+InfoM!$H3,InfoM!$I3)</f>
        <v>39284</v>
      </c>
      <c r="FU6" s="30">
        <f ca="1">DATE(YEAR(FU$1),MONTH(FU$1)+InfoM!$H3,InfoM!$I3)</f>
        <v>39315</v>
      </c>
      <c r="FV6" s="30">
        <f ca="1">DATE(YEAR(FV$1),MONTH(FV$1)+InfoM!$H3,InfoM!$I3)</f>
        <v>39346</v>
      </c>
      <c r="FW6" s="30">
        <f ca="1">DATE(YEAR(FW$1),MONTH(FW$1)+InfoM!$H3,InfoM!$I3)</f>
        <v>39376</v>
      </c>
      <c r="FX6" s="30">
        <f ca="1">DATE(YEAR(FX$1),MONTH(FX$1)+InfoM!$H3,InfoM!$I3)</f>
        <v>39407</v>
      </c>
      <c r="FY6" s="30">
        <f ca="1">DATE(YEAR(FY$1),MONTH(FY$1)+InfoM!$H3,InfoM!$I3)</f>
        <v>39437</v>
      </c>
      <c r="FZ6" s="30">
        <f ca="1">DATE(YEAR(FZ$1),MONTH(FZ$1)+InfoM!$H3,InfoM!$I3)</f>
        <v>39468</v>
      </c>
      <c r="GA6" s="30">
        <f ca="1">DATE(YEAR(GA$1),MONTH(GA$1)+InfoM!$H3,InfoM!$I3)</f>
        <v>39499</v>
      </c>
      <c r="GB6" s="30">
        <f ca="1">DATE(YEAR(GB$1),MONTH(GB$1)+InfoM!$H3,InfoM!$I3)</f>
        <v>39528</v>
      </c>
      <c r="GC6" s="30">
        <f ca="1">DATE(YEAR(GC$1),MONTH(GC$1)+InfoM!$H3,InfoM!$I3)</f>
        <v>39559</v>
      </c>
      <c r="GD6" s="30">
        <f ca="1">DATE(YEAR(GD$1),MONTH(GD$1)+InfoM!$H3,InfoM!$I3)</f>
        <v>39589</v>
      </c>
      <c r="GE6" s="30">
        <f ca="1">DATE(YEAR(GE$1),MONTH(GE$1)+InfoM!$H3,InfoM!$I3)</f>
        <v>39620</v>
      </c>
      <c r="GF6" s="30">
        <f ca="1">DATE(YEAR(GF$1),MONTH(GF$1)+InfoM!$H3,InfoM!$I3)</f>
        <v>39650</v>
      </c>
      <c r="GG6" s="30">
        <f ca="1">DATE(YEAR(GG$1),MONTH(GG$1)+InfoM!$H3,InfoM!$I3)</f>
        <v>39681</v>
      </c>
      <c r="GH6" s="30">
        <f ca="1">DATE(YEAR(GH$1),MONTH(GH$1)+InfoM!$H3,InfoM!$I3)</f>
        <v>39712</v>
      </c>
      <c r="GI6" s="30">
        <f ca="1">DATE(YEAR(GI$1),MONTH(GI$1)+InfoM!$H3,InfoM!$I3)</f>
        <v>39742</v>
      </c>
      <c r="GJ6" s="30">
        <f ca="1">DATE(YEAR(GJ$1),MONTH(GJ$1)+InfoM!$H3,InfoM!$I3)</f>
        <v>39773</v>
      </c>
      <c r="GK6" s="30">
        <f ca="1">DATE(YEAR(GK$1),MONTH(GK$1)+InfoM!$H3,InfoM!$I3)</f>
        <v>39803</v>
      </c>
      <c r="GL6" s="30">
        <f ca="1">DATE(YEAR(GL$1),MONTH(GL$1)+InfoM!$H3,InfoM!$I3)</f>
        <v>39834</v>
      </c>
      <c r="GM6" s="30">
        <f ca="1">DATE(YEAR(GM$1),MONTH(GM$1)+InfoM!$H3,InfoM!$I3)</f>
        <v>39865</v>
      </c>
      <c r="GN6" s="30">
        <f ca="1">DATE(YEAR(GN$1),MONTH(GN$1)+InfoM!$H3,InfoM!$I3)</f>
        <v>39893</v>
      </c>
      <c r="GO6" s="30">
        <f ca="1">DATE(YEAR(GO$1),MONTH(GO$1)+InfoM!$H3,InfoM!$I3)</f>
        <v>39924</v>
      </c>
      <c r="GP6" s="30">
        <f ca="1">DATE(YEAR(GP$1),MONTH(GP$1)+InfoM!$H3,InfoM!$I3)</f>
        <v>39954</v>
      </c>
      <c r="GQ6" s="30">
        <f ca="1">DATE(YEAR(GQ$1),MONTH(GQ$1)+InfoM!$H3,InfoM!$I3)</f>
        <v>39985</v>
      </c>
      <c r="GR6" s="30">
        <f ca="1">DATE(YEAR(GR$1),MONTH(GR$1)+InfoM!$H3,InfoM!$I3)</f>
        <v>40015</v>
      </c>
      <c r="GS6" s="30">
        <f ca="1">DATE(YEAR(GS$1),MONTH(GS$1)+InfoM!$H3,InfoM!$I3)</f>
        <v>40046</v>
      </c>
      <c r="GT6" s="30">
        <f ca="1">DATE(YEAR(GT$1),MONTH(GT$1)+InfoM!$H3,InfoM!$I3)</f>
        <v>40077</v>
      </c>
      <c r="GU6" s="30">
        <f ca="1">DATE(YEAR(GU$1),MONTH(GU$1)+InfoM!$H3,InfoM!$I3)</f>
        <v>40107</v>
      </c>
      <c r="GV6" s="30">
        <f ca="1">DATE(YEAR(GV$1),MONTH(GV$1)+InfoM!$H3,InfoM!$I3)</f>
        <v>40138</v>
      </c>
      <c r="GW6" s="30">
        <f ca="1">DATE(YEAR(GW$1),MONTH(GW$1)+InfoM!$H3,InfoM!$I3)</f>
        <v>40168</v>
      </c>
      <c r="GX6" s="30">
        <f ca="1">DATE(YEAR(GX$1),MONTH(GX$1)+InfoM!$H3,InfoM!$I3)</f>
        <v>40199</v>
      </c>
      <c r="GY6" s="30">
        <f ca="1">DATE(YEAR(GY$1),MONTH(GY$1)+InfoM!$H3,InfoM!$I3)</f>
        <v>40230</v>
      </c>
      <c r="GZ6" s="30">
        <f ca="1">DATE(YEAR(GZ$1),MONTH(GZ$1)+InfoM!$H3,InfoM!$I3)</f>
        <v>40258</v>
      </c>
      <c r="HA6" s="30">
        <f ca="1">DATE(YEAR(HA$1),MONTH(HA$1)+InfoM!$H3,InfoM!$I3)</f>
        <v>40289</v>
      </c>
      <c r="HB6" s="30">
        <f ca="1">DATE(YEAR(HB$1),MONTH(HB$1)+InfoM!$H3,InfoM!$I3)</f>
        <v>40319</v>
      </c>
      <c r="HC6" s="30">
        <f ca="1">DATE(YEAR(HC$1),MONTH(HC$1)+InfoM!$H3,InfoM!$I3)</f>
        <v>40350</v>
      </c>
      <c r="HD6" s="30">
        <f ca="1">DATE(YEAR(HD$1),MONTH(HD$1)+InfoM!$H3,InfoM!$I3)</f>
        <v>40380</v>
      </c>
      <c r="HE6" s="30">
        <f ca="1">DATE(YEAR(HE$1),MONTH(HE$1)+InfoM!$H3,InfoM!$I3)</f>
        <v>40411</v>
      </c>
      <c r="HF6" s="30">
        <f ca="1">DATE(YEAR(HF$1),MONTH(HF$1)+InfoM!$H3,InfoM!$I3)</f>
        <v>40442</v>
      </c>
      <c r="HG6" s="30">
        <f ca="1">DATE(YEAR(HG$1),MONTH(HG$1)+InfoM!$H3,InfoM!$I3)</f>
        <v>40472</v>
      </c>
      <c r="HH6" s="30">
        <f ca="1">DATE(YEAR(HH$1),MONTH(HH$1)+InfoM!$H3,InfoM!$I3)</f>
        <v>40503</v>
      </c>
      <c r="HI6" s="30">
        <f ca="1">DATE(YEAR(HI$1),MONTH(HI$1)+InfoM!$H3,InfoM!$I3)</f>
        <v>40533</v>
      </c>
      <c r="HJ6" s="30">
        <f ca="1">DATE(YEAR(HJ$1),MONTH(HJ$1)+InfoM!$H3,InfoM!$I3)</f>
        <v>40564</v>
      </c>
      <c r="HK6" s="30">
        <f ca="1">DATE(YEAR(HK$1),MONTH(HK$1)+InfoM!$H3,InfoM!$I3)</f>
        <v>40595</v>
      </c>
      <c r="HL6" s="30">
        <f ca="1">DATE(YEAR(HL$1),MONTH(HL$1)+InfoM!$H3,InfoM!$I3)</f>
        <v>40623</v>
      </c>
      <c r="HM6" s="30">
        <f ca="1">DATE(YEAR(HM$1),MONTH(HM$1)+InfoM!$H3,InfoM!$I3)</f>
        <v>40654</v>
      </c>
      <c r="HN6" s="30">
        <f ca="1">DATE(YEAR(HN$1),MONTH(HN$1)+InfoM!$H3,InfoM!$I3)</f>
        <v>40684</v>
      </c>
      <c r="HO6" s="30">
        <f ca="1">DATE(YEAR(HO$1),MONTH(HO$1)+InfoM!$H3,InfoM!$I3)</f>
        <v>40715</v>
      </c>
      <c r="HP6" s="30">
        <f ca="1">DATE(YEAR(HP$1),MONTH(HP$1)+InfoM!$H3,InfoM!$I3)</f>
        <v>40745</v>
      </c>
      <c r="HQ6" s="30">
        <f ca="1">DATE(YEAR(HQ$1),MONTH(HQ$1)+InfoM!$H3,InfoM!$I3)</f>
        <v>40776</v>
      </c>
      <c r="HR6" s="30">
        <f ca="1">DATE(YEAR(HR$1),MONTH(HR$1)+InfoM!$H3,InfoM!$I3)</f>
        <v>40807</v>
      </c>
      <c r="HS6" s="30">
        <f ca="1">DATE(YEAR(HS$1),MONTH(HS$1)+InfoM!$H3,InfoM!$I3)</f>
        <v>40837</v>
      </c>
      <c r="HT6" s="30">
        <f ca="1">DATE(YEAR(HT$1),MONTH(HT$1)+InfoM!$H3,InfoM!$I3)</f>
        <v>40868</v>
      </c>
      <c r="HU6" s="30">
        <f ca="1">DATE(YEAR(HU$1),MONTH(HU$1)+InfoM!$H3,InfoM!$I3)</f>
        <v>40898</v>
      </c>
      <c r="HV6" s="30">
        <f ca="1">DATE(YEAR(HV$1),MONTH(HV$1)+InfoM!$H3,InfoM!$I3)</f>
        <v>40929</v>
      </c>
      <c r="HW6" s="30">
        <f ca="1">DATE(YEAR(HW$1),MONTH(HW$1)+InfoM!$H3,InfoM!$I3)</f>
        <v>40960</v>
      </c>
      <c r="HX6" s="30">
        <f ca="1">DATE(YEAR(HX$1),MONTH(HX$1)+InfoM!$H3,InfoM!$I3)</f>
        <v>40989</v>
      </c>
      <c r="HY6" s="30">
        <f ca="1">DATE(YEAR(HY$1),MONTH(HY$1)+InfoM!$H3,InfoM!$I3)</f>
        <v>41020</v>
      </c>
      <c r="HZ6" s="30">
        <f ca="1">DATE(YEAR(HZ$1),MONTH(HZ$1)+InfoM!$H3,InfoM!$I3)</f>
        <v>41050</v>
      </c>
      <c r="IA6" s="30">
        <f ca="1">DATE(YEAR(IA$1),MONTH(IA$1)+InfoM!$H3,InfoM!$I3)</f>
        <v>41081</v>
      </c>
      <c r="IB6" s="30">
        <f ca="1">DATE(YEAR(IB$1),MONTH(IB$1)+InfoM!$H3,InfoM!$I3)</f>
        <v>41111</v>
      </c>
      <c r="IC6" s="30">
        <f ca="1">DATE(YEAR(IC$1),MONTH(IC$1)+InfoM!$H3,InfoM!$I3)</f>
        <v>41142</v>
      </c>
      <c r="ID6" s="30">
        <f ca="1">DATE(YEAR(ID$1),MONTH(ID$1)+InfoM!$H3,InfoM!$I3)</f>
        <v>41173</v>
      </c>
      <c r="IE6" s="30">
        <f ca="1">DATE(YEAR(IE$1),MONTH(IE$1)+InfoM!$H3,InfoM!$I3)</f>
        <v>41203</v>
      </c>
      <c r="IF6" s="30">
        <f ca="1">DATE(YEAR(IF$1),MONTH(IF$1)+InfoM!$H3,InfoM!$I3)</f>
        <v>41234</v>
      </c>
      <c r="IG6" s="30">
        <f ca="1">DATE(YEAR(IG$1),MONTH(IG$1)+InfoM!$H3,InfoM!$I3)</f>
        <v>41264</v>
      </c>
      <c r="IH6" s="30">
        <f ca="1">DATE(YEAR(IH$1),MONTH(IH$1)+InfoM!$H3,InfoM!$I3)</f>
        <v>41295</v>
      </c>
      <c r="II6" s="30">
        <f ca="1">DATE(YEAR(II$1),MONTH(II$1)+InfoM!$H3,InfoM!$I3)</f>
        <v>41326</v>
      </c>
      <c r="IJ6" s="30">
        <f ca="1">DATE(YEAR(IJ$1),MONTH(IJ$1)+InfoM!$H3,InfoM!$I3)</f>
        <v>41354</v>
      </c>
      <c r="IK6" s="30">
        <f ca="1">DATE(YEAR(IK$1),MONTH(IK$1)+InfoM!$H3,InfoM!$I3)</f>
        <v>41385</v>
      </c>
      <c r="IL6" s="30">
        <f ca="1">DATE(YEAR(IL$1),MONTH(IL$1)+InfoM!$H3,InfoM!$I3)</f>
        <v>41415</v>
      </c>
      <c r="IM6" s="30">
        <f ca="1">DATE(YEAR(IM$1),MONTH(IM$1)+InfoM!$H3,InfoM!$I3)</f>
        <v>41446</v>
      </c>
      <c r="IN6" s="30">
        <f ca="1">DATE(YEAR(IN$1),MONTH(IN$1)+InfoM!$H3,InfoM!$I3)</f>
        <v>41476</v>
      </c>
      <c r="IO6" s="30">
        <f ca="1">DATE(YEAR(IO$1),MONTH(IO$1)+InfoM!$H3,InfoM!$I3)</f>
        <v>41507</v>
      </c>
      <c r="IP6" s="30">
        <f ca="1">DATE(YEAR(IP$1),MONTH(IP$1)+InfoM!$H3,InfoM!$I3)</f>
        <v>41538</v>
      </c>
      <c r="IQ6" s="30">
        <f ca="1">DATE(YEAR(IQ$1),MONTH(IQ$1)+InfoM!$H3,InfoM!$I3)</f>
        <v>41568</v>
      </c>
      <c r="IR6" s="30">
        <f ca="1">DATE(YEAR(IR$1),MONTH(IR$1)+InfoM!$H3,InfoM!$I3)</f>
        <v>41599</v>
      </c>
      <c r="IS6" s="30">
        <f ca="1">DATE(YEAR(IS$1),MONTH(IS$1)+InfoM!$H3,InfoM!$I3)</f>
        <v>41629</v>
      </c>
      <c r="IT6" s="30">
        <f ca="1">DATE(YEAR(IT$1),MONTH(IT$1)+InfoM!$H3,InfoM!$I3)</f>
        <v>41660</v>
      </c>
      <c r="IU6" s="30">
        <f ca="1">DATE(YEAR(IU$1),MONTH(IU$1)+InfoM!$H3,InfoM!$I3)</f>
        <v>41691</v>
      </c>
      <c r="IV6" s="30">
        <f ca="1">DATE(YEAR(IV$1),MONTH(IV$1)+InfoM!$H3,InfoM!$I3)</f>
        <v>41719</v>
      </c>
      <c r="IW6" s="30">
        <f ca="1">DATE(YEAR(IW$1),MONTH(IW$1)+InfoM!$H3,InfoM!$I3)</f>
        <v>41750</v>
      </c>
      <c r="IX6" s="30">
        <f ca="1">DATE(YEAR(IX$1),MONTH(IX$1)+InfoM!$H3,InfoM!$I3)</f>
        <v>41780</v>
      </c>
      <c r="IY6" s="30">
        <f ca="1">DATE(YEAR(IY$1),MONTH(IY$1)+InfoM!$H3,InfoM!$I3)</f>
        <v>41811</v>
      </c>
      <c r="IZ6" s="30">
        <f ca="1">DATE(YEAR(IZ$1),MONTH(IZ$1)+InfoM!$H3,InfoM!$I3)</f>
        <v>41841</v>
      </c>
      <c r="JA6" s="30">
        <f ca="1">DATE(YEAR(JA$1),MONTH(JA$1)+InfoM!$H3,InfoM!$I3)</f>
        <v>41872</v>
      </c>
      <c r="JB6" s="30">
        <f ca="1">DATE(YEAR(JB$1),MONTH(JB$1)+InfoM!$H3,InfoM!$I3)</f>
        <v>41903</v>
      </c>
      <c r="JC6" s="30">
        <f ca="1">DATE(YEAR(JC$1),MONTH(JC$1)+InfoM!$H3,InfoM!$I3)</f>
        <v>41933</v>
      </c>
      <c r="JD6" s="30">
        <f ca="1">DATE(YEAR(JD$1),MONTH(JD$1)+InfoM!$H3,InfoM!$I3)</f>
        <v>41964</v>
      </c>
      <c r="JE6" s="30">
        <f ca="1">DATE(YEAR(JE$1),MONTH(JE$1)+InfoM!$H3,InfoM!$I3)</f>
        <v>41994</v>
      </c>
      <c r="JF6" s="30">
        <f ca="1">DATE(YEAR(JF$1),MONTH(JF$1)+InfoM!$H3,InfoM!$I3)</f>
        <v>42025</v>
      </c>
      <c r="JG6" s="30">
        <f ca="1">DATE(YEAR(JG$1),MONTH(JG$1)+InfoM!$H3,InfoM!$I3)</f>
        <v>42056</v>
      </c>
      <c r="JH6" s="30">
        <f ca="1">DATE(YEAR(JH$1),MONTH(JH$1)+InfoM!$H3,InfoM!$I3)</f>
        <v>42084</v>
      </c>
      <c r="JI6" s="30">
        <f ca="1">DATE(YEAR(JI$1),MONTH(JI$1)+InfoM!$H3,InfoM!$I3)</f>
        <v>42115</v>
      </c>
      <c r="JJ6" s="30">
        <f ca="1">DATE(YEAR(JJ$1),MONTH(JJ$1)+InfoM!$H3,InfoM!$I3)</f>
        <v>42145</v>
      </c>
      <c r="JK6" s="30">
        <f ca="1">DATE(YEAR(JK$1),MONTH(JK$1)+InfoM!$H3,InfoM!$I3)</f>
        <v>42176</v>
      </c>
      <c r="JL6" s="30">
        <f ca="1">DATE(YEAR(JL$1),MONTH(JL$1)+InfoM!$H3,InfoM!$I3)</f>
        <v>42206</v>
      </c>
      <c r="JM6" s="30">
        <f ca="1">DATE(YEAR(JM$1),MONTH(JM$1)+InfoM!$H3,InfoM!$I3)</f>
        <v>42237</v>
      </c>
      <c r="JN6" s="30">
        <f ca="1">DATE(YEAR(JN$1),MONTH(JN$1)+InfoM!$H3,InfoM!$I3)</f>
        <v>42268</v>
      </c>
      <c r="JO6" s="30">
        <f ca="1">DATE(YEAR(JO$1),MONTH(JO$1)+InfoM!$H3,InfoM!$I3)</f>
        <v>42298</v>
      </c>
      <c r="JP6" s="30">
        <f ca="1">DATE(YEAR(JP$1),MONTH(JP$1)+InfoM!$H3,InfoM!$I3)</f>
        <v>42329</v>
      </c>
      <c r="JQ6" s="30">
        <f ca="1">DATE(YEAR(JQ$1),MONTH(JQ$1)+InfoM!$H3,InfoM!$I3)</f>
        <v>42359</v>
      </c>
      <c r="JR6" s="30">
        <f ca="1">DATE(YEAR(JR$1),MONTH(JR$1)+InfoM!$H3,InfoM!$I3)</f>
        <v>42390</v>
      </c>
      <c r="JS6" s="30">
        <f ca="1">DATE(YEAR(JS$1),MONTH(JS$1)+InfoM!$H3,InfoM!$I3)</f>
        <v>42421</v>
      </c>
      <c r="JT6" s="30">
        <f ca="1">DATE(YEAR(JT$1),MONTH(JT$1)+InfoM!$H3,InfoM!$I3)</f>
        <v>42450</v>
      </c>
      <c r="JU6" s="30">
        <f ca="1">DATE(YEAR(JU$1),MONTH(JU$1)+InfoM!$H3,InfoM!$I3)</f>
        <v>42481</v>
      </c>
      <c r="JV6" s="30">
        <f ca="1">DATE(YEAR(JV$1),MONTH(JV$1)+InfoM!$H3,InfoM!$I3)</f>
        <v>42511</v>
      </c>
      <c r="JW6" s="30">
        <f ca="1">DATE(YEAR(JW$1),MONTH(JW$1)+InfoM!$H3,InfoM!$I3)</f>
        <v>42542</v>
      </c>
      <c r="JX6" s="30">
        <f ca="1">DATE(YEAR(JX$1),MONTH(JX$1)+InfoM!$H3,InfoM!$I3)</f>
        <v>42572</v>
      </c>
      <c r="JY6" s="30">
        <f ca="1">DATE(YEAR(JY$1),MONTH(JY$1)+InfoM!$H3,InfoM!$I3)</f>
        <v>42603</v>
      </c>
      <c r="JZ6" s="30">
        <f ca="1">DATE(YEAR(JZ$1),MONTH(JZ$1)+InfoM!$H3,InfoM!$I3)</f>
        <v>42634</v>
      </c>
      <c r="KA6" s="30">
        <f ca="1">DATE(YEAR(KA$1),MONTH(KA$1)+InfoM!$H3,InfoM!$I3)</f>
        <v>42664</v>
      </c>
      <c r="KB6" s="30">
        <f ca="1">DATE(YEAR(KB$1),MONTH(KB$1)+InfoM!$H3,InfoM!$I3)</f>
        <v>42695</v>
      </c>
      <c r="KC6" s="30">
        <f ca="1">DATE(YEAR(KC$1),MONTH(KC$1)+InfoM!$H3,InfoM!$I3)</f>
        <v>42725</v>
      </c>
      <c r="KD6" s="30">
        <f ca="1">DATE(YEAR(KD$1),MONTH(KD$1)+InfoM!$H3,InfoM!$I3)</f>
        <v>42756</v>
      </c>
      <c r="KE6" s="30">
        <f ca="1">DATE(YEAR(KE$1),MONTH(KE$1)+InfoM!$H3,InfoM!$I3)</f>
        <v>42787</v>
      </c>
      <c r="KF6" s="30">
        <f ca="1">DATE(YEAR(KF$1),MONTH(KF$1)+InfoM!$H3,InfoM!$I3)</f>
        <v>42815</v>
      </c>
      <c r="KG6" s="30">
        <f ca="1">DATE(YEAR(KG$1),MONTH(KG$1)+InfoM!$H3,InfoM!$I3)</f>
        <v>42846</v>
      </c>
      <c r="KH6" s="30">
        <f ca="1">DATE(YEAR(KH$1),MONTH(KH$1)+InfoM!$H3,InfoM!$I3)</f>
        <v>42876</v>
      </c>
      <c r="KI6" s="30">
        <f ca="1">DATE(YEAR(KI$1),MONTH(KI$1)+InfoM!$H3,InfoM!$I3)</f>
        <v>42907</v>
      </c>
      <c r="KJ6" s="30">
        <f ca="1">DATE(YEAR(KJ$1),MONTH(KJ$1)+InfoM!$H3,InfoM!$I3)</f>
        <v>42937</v>
      </c>
      <c r="KK6" s="30">
        <f ca="1">DATE(YEAR(KK$1),MONTH(KK$1)+InfoM!$H3,InfoM!$I3)</f>
        <v>42968</v>
      </c>
      <c r="KL6" s="30">
        <f ca="1">DATE(YEAR(KL$1),MONTH(KL$1)+InfoM!$H3,InfoM!$I3)</f>
        <v>42999</v>
      </c>
      <c r="KM6" s="30">
        <f ca="1">DATE(YEAR(KM$1),MONTH(KM$1)+InfoM!$H3,InfoM!$I3)</f>
        <v>43029</v>
      </c>
      <c r="KN6" s="30">
        <f ca="1">DATE(YEAR(KN$1),MONTH(KN$1)+InfoM!$H3,InfoM!$I3)</f>
        <v>43060</v>
      </c>
      <c r="KO6" s="30">
        <f ca="1">DATE(YEAR(KO$1),MONTH(KO$1)+InfoM!$H3,InfoM!$I3)</f>
        <v>43090</v>
      </c>
      <c r="KP6" s="30">
        <f ca="1">DATE(YEAR(KP$1),MONTH(KP$1)+InfoM!$H3,InfoM!$I3)</f>
        <v>43121</v>
      </c>
      <c r="KQ6" s="30">
        <f ca="1">DATE(YEAR(KQ$1),MONTH(KQ$1)+InfoM!$H3,InfoM!$I3)</f>
        <v>43152</v>
      </c>
      <c r="KR6" s="30">
        <f ca="1">DATE(YEAR(KR$1),MONTH(KR$1)+InfoM!$H3,InfoM!$I3)</f>
        <v>43180</v>
      </c>
      <c r="KS6" s="30">
        <f ca="1">DATE(YEAR(KS$1),MONTH(KS$1)+InfoM!$H3,InfoM!$I3)</f>
        <v>43211</v>
      </c>
      <c r="KT6" s="30">
        <f ca="1">DATE(YEAR(KT$1),MONTH(KT$1)+InfoM!$H3,InfoM!$I3)</f>
        <v>43241</v>
      </c>
      <c r="KU6" s="30">
        <f ca="1">DATE(YEAR(KU$1),MONTH(KU$1)+InfoM!$H3,InfoM!$I3)</f>
        <v>43272</v>
      </c>
      <c r="KV6" s="30">
        <f ca="1">DATE(YEAR(KV$1),MONTH(KV$1)+InfoM!$H3,InfoM!$I3)</f>
        <v>43302</v>
      </c>
      <c r="KW6" s="30">
        <f ca="1">DATE(YEAR(KW$1),MONTH(KW$1)+InfoM!$H3,InfoM!$I3)</f>
        <v>43333</v>
      </c>
      <c r="KX6" s="30">
        <f ca="1">DATE(YEAR(KX$1),MONTH(KX$1)+InfoM!$H3,InfoM!$I3)</f>
        <v>43364</v>
      </c>
      <c r="KY6" s="30">
        <f ca="1">DATE(YEAR(KY$1),MONTH(KY$1)+InfoM!$H3,InfoM!$I3)</f>
        <v>43394</v>
      </c>
      <c r="KZ6" s="30">
        <f ca="1">DATE(YEAR(KZ$1),MONTH(KZ$1)+InfoM!$H3,InfoM!$I3)</f>
        <v>43425</v>
      </c>
      <c r="LA6" s="30">
        <f ca="1">DATE(YEAR(LA$1),MONTH(LA$1)+InfoM!$H3,InfoM!$I3)</f>
        <v>43455</v>
      </c>
      <c r="LB6" s="30">
        <f ca="1">DATE(YEAR(LB$1),MONTH(LB$1)+InfoM!$H3,InfoM!$I3)</f>
        <v>43486</v>
      </c>
      <c r="LC6" s="30">
        <f ca="1">DATE(YEAR(LC$1),MONTH(LC$1)+InfoM!$H3,InfoM!$I3)</f>
        <v>43517</v>
      </c>
      <c r="LD6" s="30">
        <f ca="1">DATE(YEAR(LD$1),MONTH(LD$1)+InfoM!$H3,InfoM!$I3)</f>
        <v>43545</v>
      </c>
      <c r="LE6" s="30">
        <f ca="1">DATE(YEAR(LE$1),MONTH(LE$1)+InfoM!$H3,InfoM!$I3)</f>
        <v>43576</v>
      </c>
      <c r="LF6" s="30">
        <f ca="1">DATE(YEAR(LF$1),MONTH(LF$1)+InfoM!$H3,InfoM!$I3)</f>
        <v>43606</v>
      </c>
      <c r="LG6" s="30">
        <f ca="1">DATE(YEAR(LG$1),MONTH(LG$1)+InfoM!$H3,InfoM!$I3)</f>
        <v>43637</v>
      </c>
      <c r="LH6" s="30">
        <f ca="1">DATE(YEAR(LH$1),MONTH(LH$1)+InfoM!$H3,InfoM!$I3)</f>
        <v>43667</v>
      </c>
      <c r="LI6" s="30">
        <f ca="1">DATE(YEAR(LI$1),MONTH(LI$1)+InfoM!$H3,InfoM!$I3)</f>
        <v>43698</v>
      </c>
      <c r="LJ6" s="30">
        <f ca="1">DATE(YEAR(LJ$1),MONTH(LJ$1)+InfoM!$H3,InfoM!$I3)</f>
        <v>43729</v>
      </c>
      <c r="LK6" s="30">
        <f ca="1">DATE(YEAR(LK$1),MONTH(LK$1)+InfoM!$H3,InfoM!$I3)</f>
        <v>43759</v>
      </c>
      <c r="LL6" s="30">
        <f ca="1">DATE(YEAR(LL$1),MONTH(LL$1)+InfoM!$H3,InfoM!$I3)</f>
        <v>43790</v>
      </c>
      <c r="LM6" s="30">
        <f ca="1">DATE(YEAR(LM$1),MONTH(LM$1)+InfoM!$H3,InfoM!$I3)</f>
        <v>43820</v>
      </c>
      <c r="LN6" s="30">
        <f ca="1">DATE(YEAR(LN$1),MONTH(LN$1)+InfoM!$H3,InfoM!$I3)</f>
        <v>43851</v>
      </c>
      <c r="LO6" s="30">
        <f ca="1">DATE(YEAR(LO$1),MONTH(LO$1)+InfoM!$H3,InfoM!$I3)</f>
        <v>43882</v>
      </c>
      <c r="LP6" s="30">
        <f ca="1">DATE(YEAR(LP$1),MONTH(LP$1)+InfoM!$H3,InfoM!$I3)</f>
        <v>43911</v>
      </c>
      <c r="LQ6" s="30">
        <f ca="1">DATE(YEAR(LQ$1),MONTH(LQ$1)+InfoM!$H3,InfoM!$I3)</f>
        <v>43942</v>
      </c>
      <c r="LR6" s="30">
        <f ca="1">DATE(YEAR(LR$1),MONTH(LR$1)+InfoM!$H3,InfoM!$I3)</f>
        <v>43972</v>
      </c>
      <c r="LS6" s="30">
        <f ca="1">DATE(YEAR(LS$1),MONTH(LS$1)+InfoM!$H3,InfoM!$I3)</f>
        <v>44003</v>
      </c>
      <c r="LT6" s="30">
        <f ca="1">DATE(YEAR(LT$1),MONTH(LT$1)+InfoM!$H3,InfoM!$I3)</f>
        <v>44033</v>
      </c>
      <c r="LU6" s="30">
        <f ca="1">DATE(YEAR(LU$1),MONTH(LU$1)+InfoM!$H3,InfoM!$I3)</f>
        <v>44064</v>
      </c>
      <c r="LV6" s="30">
        <f ca="1">DATE(YEAR(LV$1),MONTH(LV$1)+InfoM!$H3,InfoM!$I3)</f>
        <v>44095</v>
      </c>
      <c r="LW6" s="30">
        <f ca="1">DATE(YEAR(LW$1),MONTH(LW$1)+InfoM!$H3,InfoM!$I3)</f>
        <v>44125</v>
      </c>
      <c r="LX6" s="30">
        <f ca="1">DATE(YEAR(LX$1),MONTH(LX$1)+InfoM!$H3,InfoM!$I3)</f>
        <v>44156</v>
      </c>
      <c r="LY6" s="30">
        <f ca="1">DATE(YEAR(LY$1),MONTH(LY$1)+InfoM!$H3,InfoM!$I3)</f>
        <v>44186</v>
      </c>
      <c r="LZ6" s="30">
        <f ca="1">DATE(YEAR(LZ$1),MONTH(LZ$1)+InfoM!$H3,InfoM!$I3)</f>
        <v>44217</v>
      </c>
      <c r="MA6" s="30">
        <f ca="1">DATE(YEAR(MA$1),MONTH(MA$1)+InfoM!$H3,InfoM!$I3)</f>
        <v>44248</v>
      </c>
      <c r="MB6" s="30">
        <f ca="1">DATE(YEAR(MB$1),MONTH(MB$1)+InfoM!$H3,InfoM!$I3)</f>
        <v>44276</v>
      </c>
      <c r="MC6" s="30">
        <f ca="1">DATE(YEAR(MC$1),MONTH(MC$1)+InfoM!$H3,InfoM!$I3)</f>
        <v>44307</v>
      </c>
      <c r="MD6" s="30">
        <f ca="1">DATE(YEAR(MD$1),MONTH(MD$1)+InfoM!$H3,InfoM!$I3)</f>
        <v>44337</v>
      </c>
      <c r="ME6" s="30">
        <f ca="1">DATE(YEAR(ME$1),MONTH(ME$1)+InfoM!$H3,InfoM!$I3)</f>
        <v>44368</v>
      </c>
      <c r="MF6" s="30">
        <f ca="1">DATE(YEAR(MF$1),MONTH(MF$1)+InfoM!$H3,InfoM!$I3)</f>
        <v>44398</v>
      </c>
      <c r="MG6" s="30">
        <f ca="1">DATE(YEAR(MG$1),MONTH(MG$1)+InfoM!$H3,InfoM!$I3)</f>
        <v>44429</v>
      </c>
      <c r="MH6" s="30">
        <f ca="1">DATE(YEAR(MH$1),MONTH(MH$1)+InfoM!$H3,InfoM!$I3)</f>
        <v>44460</v>
      </c>
      <c r="MI6" s="30">
        <f ca="1">DATE(YEAR(MI$1),MONTH(MI$1)+InfoM!$H3,InfoM!$I3)</f>
        <v>44490</v>
      </c>
      <c r="MJ6" s="30">
        <f ca="1">DATE(YEAR(MJ$1),MONTH(MJ$1)+InfoM!$H3,InfoM!$I3)</f>
        <v>44521</v>
      </c>
      <c r="MK6" s="30">
        <f ca="1">DATE(YEAR(MK$1),MONTH(MK$1)+InfoM!$H3,InfoM!$I3)</f>
        <v>44551</v>
      </c>
      <c r="ML6" s="30">
        <f ca="1">DATE(YEAR(ML$1),MONTH(ML$1)+InfoM!$H3,InfoM!$I3)</f>
        <v>44582</v>
      </c>
      <c r="MM6" s="30">
        <f ca="1">DATE(YEAR(MM$1),MONTH(MM$1)+InfoM!$H3,InfoM!$I3)</f>
        <v>44613</v>
      </c>
      <c r="MN6" s="30">
        <f ca="1">DATE(YEAR(MN$1),MONTH(MN$1)+InfoM!$H3,InfoM!$I3)</f>
        <v>44641</v>
      </c>
      <c r="MO6" s="30">
        <f ca="1">DATE(YEAR(MO$1),MONTH(MO$1)+InfoM!$H3,InfoM!$I3)</f>
        <v>44672</v>
      </c>
      <c r="MP6" s="30">
        <f ca="1">DATE(YEAR(MP$1),MONTH(MP$1)+InfoM!$H3,InfoM!$I3)</f>
        <v>44702</v>
      </c>
      <c r="MQ6" s="30">
        <f ca="1">DATE(YEAR(MQ$1),MONTH(MQ$1)+InfoM!$H3,InfoM!$I3)</f>
        <v>44733</v>
      </c>
      <c r="MR6" s="30">
        <f ca="1">DATE(YEAR(MR$1),MONTH(MR$1)+InfoM!$H3,InfoM!$I3)</f>
        <v>44763</v>
      </c>
      <c r="MS6" s="30">
        <f ca="1">DATE(YEAR(MS$1),MONTH(MS$1)+InfoM!$H3,InfoM!$I3)</f>
        <v>44794</v>
      </c>
      <c r="MT6" s="30">
        <f ca="1">DATE(YEAR(MT$1),MONTH(MT$1)+InfoM!$H3,InfoM!$I3)</f>
        <v>44825</v>
      </c>
      <c r="MU6" s="30">
        <f ca="1">DATE(YEAR(MU$1),MONTH(MU$1)+InfoM!$H3,InfoM!$I3)</f>
        <v>44855</v>
      </c>
      <c r="MV6" s="30">
        <f ca="1">DATE(YEAR(MV$1),MONTH(MV$1)+InfoM!$H3,InfoM!$I3)</f>
        <v>44886</v>
      </c>
      <c r="MW6" s="30">
        <f ca="1">DATE(YEAR(MW$1),MONTH(MW$1)+InfoM!$H3,InfoM!$I3)</f>
        <v>44916</v>
      </c>
      <c r="MX6" s="30">
        <f ca="1">DATE(YEAR(MX$1),MONTH(MX$1)+InfoM!$H3,InfoM!$I3)</f>
        <v>44947</v>
      </c>
      <c r="MY6" s="30">
        <f ca="1">DATE(YEAR(MY$1),MONTH(MY$1)+InfoM!$H3,InfoM!$I3)</f>
        <v>44978</v>
      </c>
      <c r="MZ6" s="30">
        <f ca="1">DATE(YEAR(MZ$1),MONTH(MZ$1)+InfoM!$H3,InfoM!$I3)</f>
        <v>45006</v>
      </c>
      <c r="NA6" s="30">
        <f ca="1">DATE(YEAR(NA$1),MONTH(NA$1)+InfoM!$H3,InfoM!$I3)</f>
        <v>45037</v>
      </c>
      <c r="NB6" s="30">
        <f ca="1">DATE(YEAR(NB$1),MONTH(NB$1)+InfoM!$H3,InfoM!$I3)</f>
        <v>45067</v>
      </c>
      <c r="NC6" s="30">
        <f ca="1">DATE(YEAR(NC$1),MONTH(NC$1)+InfoM!$H3,InfoM!$I3)</f>
        <v>45098</v>
      </c>
      <c r="ND6" s="30">
        <f ca="1">DATE(YEAR(ND$1),MONTH(ND$1)+InfoM!$H3,InfoM!$I3)</f>
        <v>45128</v>
      </c>
      <c r="NE6" s="30">
        <f ca="1">DATE(YEAR(NE$1),MONTH(NE$1)+InfoM!$H3,InfoM!$I3)</f>
        <v>45159</v>
      </c>
      <c r="NF6" s="30">
        <f ca="1">DATE(YEAR(NF$1),MONTH(NF$1)+InfoM!$H3,InfoM!$I3)</f>
        <v>45190</v>
      </c>
      <c r="NG6" s="30">
        <f ca="1">DATE(YEAR(NG$1),MONTH(NG$1)+InfoM!$H3,InfoM!$I3)</f>
        <v>45220</v>
      </c>
      <c r="NH6" s="30">
        <f ca="1">DATE(YEAR(NH$1),MONTH(NH$1)+InfoM!$H3,InfoM!$I3)</f>
        <v>45251</v>
      </c>
      <c r="NI6" s="30">
        <f ca="1">DATE(YEAR(NI$1),MONTH(NI$1)+InfoM!$H3,InfoM!$I3)</f>
        <v>45281</v>
      </c>
      <c r="NJ6" s="30">
        <f ca="1">DATE(YEAR(NJ$1),MONTH(NJ$1)+InfoM!$H3,InfoM!$I3)</f>
        <v>45312</v>
      </c>
      <c r="NK6" s="30">
        <f ca="1">DATE(YEAR(NK$1),MONTH(NK$1)+InfoM!$H3,InfoM!$I3)</f>
        <v>45343</v>
      </c>
      <c r="NL6" s="30">
        <f ca="1">DATE(YEAR(NL$1),MONTH(NL$1)+InfoM!$H3,InfoM!$I3)</f>
        <v>45372</v>
      </c>
      <c r="NM6" s="30">
        <f ca="1">DATE(YEAR(NM$1),MONTH(NM$1)+InfoM!$H3,InfoM!$I3)</f>
        <v>45403</v>
      </c>
      <c r="NN6" s="30">
        <f ca="1">DATE(YEAR(NN$1),MONTH(NN$1)+InfoM!$H3,InfoM!$I3)</f>
        <v>45433</v>
      </c>
      <c r="NO6" s="30">
        <f ca="1">DATE(YEAR(NO$1),MONTH(NO$1)+InfoM!$H3,InfoM!$I3)</f>
        <v>45464</v>
      </c>
      <c r="NP6" s="30">
        <f ca="1">DATE(YEAR(NP$1),MONTH(NP$1)+InfoM!$H3,InfoM!$I3)</f>
        <v>45494</v>
      </c>
      <c r="NQ6" s="30">
        <f ca="1">DATE(YEAR(NQ$1),MONTH(NQ$1)+InfoM!$H3,InfoM!$I3)</f>
        <v>45525</v>
      </c>
      <c r="NR6" s="30">
        <f ca="1">DATE(YEAR(NR$1),MONTH(NR$1)+InfoM!$H3,InfoM!$I3)</f>
        <v>45556</v>
      </c>
      <c r="NS6" s="30">
        <f ca="1">DATE(YEAR(NS$1),MONTH(NS$1)+InfoM!$H3,InfoM!$I3)</f>
        <v>45586</v>
      </c>
      <c r="NT6" s="30">
        <f ca="1">DATE(YEAR(NT$1),MONTH(NT$1)+InfoM!$H3,InfoM!$I3)</f>
        <v>45617</v>
      </c>
      <c r="NU6" s="30">
        <f ca="1">DATE(YEAR(NU$1),MONTH(NU$1)+InfoM!$H3,InfoM!$I3)</f>
        <v>45647</v>
      </c>
      <c r="NV6" s="30">
        <f ca="1">DATE(YEAR(NV$1),MONTH(NV$1)+InfoM!$H3,InfoM!$I3)</f>
        <v>45678</v>
      </c>
      <c r="NW6" s="30">
        <f ca="1">DATE(YEAR(NW$1),MONTH(NW$1)+InfoM!$H3,InfoM!$I3)</f>
        <v>45709</v>
      </c>
      <c r="NX6" s="30">
        <f ca="1">DATE(YEAR(NX$1),MONTH(NX$1)+InfoM!$H3,InfoM!$I3)</f>
        <v>45737</v>
      </c>
      <c r="NY6" s="30">
        <f ca="1">DATE(YEAR(NY$1),MONTH(NY$1)+InfoM!$H3,InfoM!$I3)</f>
        <v>45768</v>
      </c>
      <c r="NZ6" s="30">
        <f ca="1">DATE(YEAR(NZ$1),MONTH(NZ$1)+InfoM!$H3,InfoM!$I3)</f>
        <v>45798</v>
      </c>
      <c r="OA6" s="30">
        <f ca="1">DATE(YEAR(OA$1),MONTH(OA$1)+InfoM!$H3,InfoM!$I3)</f>
        <v>45829</v>
      </c>
      <c r="OB6" s="30">
        <f ca="1">DATE(YEAR(OB$1),MONTH(OB$1)+InfoM!$H3,InfoM!$I3)</f>
        <v>45859</v>
      </c>
      <c r="OC6" s="30">
        <f ca="1">DATE(YEAR(OC$1),MONTH(OC$1)+InfoM!$H3,InfoM!$I3)</f>
        <v>45890</v>
      </c>
      <c r="OD6" s="30">
        <f ca="1">DATE(YEAR(OD$1),MONTH(OD$1)+InfoM!$H3,InfoM!$I3)</f>
        <v>45921</v>
      </c>
      <c r="OE6" s="30">
        <f ca="1">DATE(YEAR(OE$1),MONTH(OE$1)+InfoM!$H3,InfoM!$I3)</f>
        <v>45951</v>
      </c>
      <c r="OF6" s="30">
        <f ca="1">DATE(YEAR(OF$1),MONTH(OF$1)+InfoM!$H3,InfoM!$I3)</f>
        <v>45982</v>
      </c>
      <c r="OG6" s="30">
        <f ca="1">DATE(YEAR(OG$1),MONTH(OG$1)+InfoM!$H3,InfoM!$I3)</f>
        <v>46012</v>
      </c>
      <c r="OH6" s="30">
        <f ca="1">DATE(YEAR(OH$1),MONTH(OH$1)+InfoM!$H3,InfoM!$I3)</f>
        <v>46043</v>
      </c>
      <c r="OI6" s="30">
        <f ca="1">DATE(YEAR(OI$1),MONTH(OI$1)+InfoM!$H3,InfoM!$I3)</f>
        <v>46074</v>
      </c>
      <c r="OJ6" s="30">
        <f ca="1">DATE(YEAR(OJ$1),MONTH(OJ$1)+InfoM!$H3,InfoM!$I3)</f>
        <v>46102</v>
      </c>
      <c r="OK6" s="30">
        <f ca="1">DATE(YEAR(OK$1),MONTH(OK$1)+InfoM!$H3,InfoM!$I3)</f>
        <v>46133</v>
      </c>
      <c r="OL6" s="30">
        <f ca="1">DATE(YEAR(OL$1),MONTH(OL$1)+InfoM!$H3,InfoM!$I3)</f>
        <v>46163</v>
      </c>
      <c r="OM6" s="30">
        <f ca="1">DATE(YEAR(OM$1),MONTH(OM$1)+InfoM!$H3,InfoM!$I3)</f>
        <v>46194</v>
      </c>
      <c r="ON6" s="30">
        <f ca="1">DATE(YEAR(ON$1),MONTH(ON$1)+InfoM!$H3,InfoM!$I3)</f>
        <v>46224</v>
      </c>
      <c r="OO6" s="30">
        <f ca="1">DATE(YEAR(OO$1),MONTH(OO$1)+InfoM!$H3,InfoM!$I3)</f>
        <v>46255</v>
      </c>
      <c r="OP6" s="30">
        <f ca="1">DATE(YEAR(OP$1),MONTH(OP$1)+InfoM!$H3,InfoM!$I3)</f>
        <v>46286</v>
      </c>
      <c r="OQ6" s="30">
        <f ca="1">DATE(YEAR(OQ$1),MONTH(OQ$1)+InfoM!$H3,InfoM!$I3)</f>
        <v>46316</v>
      </c>
      <c r="OR6" s="30">
        <f ca="1">DATE(YEAR(OR$1),MONTH(OR$1)+InfoM!$H3,InfoM!$I3)</f>
        <v>46347</v>
      </c>
      <c r="OS6" s="30">
        <f ca="1">DATE(YEAR(OS$1),MONTH(OS$1)+InfoM!$H3,InfoM!$I3)</f>
        <v>46377</v>
      </c>
      <c r="OT6" s="30">
        <f ca="1">DATE(YEAR(OT$1),MONTH(OT$1)+InfoM!$H3,InfoM!$I3)</f>
        <v>46408</v>
      </c>
    </row>
    <row r="7" spans="1:410" x14ac:dyDescent="0.35">
      <c r="A7" s="19" t="str">
        <f>InfoM!A4</f>
        <v>Car_sales</v>
      </c>
      <c r="B7">
        <f>InfoM!G4</f>
        <v>1</v>
      </c>
      <c r="C7" s="30">
        <f>DATE(YEAR(C$1),MONTH(C$1)+InfoM!$H4,InfoM!$I4)</f>
        <v>34015</v>
      </c>
      <c r="D7" s="30">
        <f ca="1">DATE(YEAR(D$1),MONTH(D$1)+InfoM!$H4,InfoM!$I4)</f>
        <v>34043</v>
      </c>
      <c r="E7" s="30">
        <f ca="1">DATE(YEAR(E$1),MONTH(E$1)+InfoM!$H4,InfoM!$I4)</f>
        <v>34074</v>
      </c>
      <c r="F7" s="30">
        <f ca="1">DATE(YEAR(F$1),MONTH(F$1)+InfoM!$H4,InfoM!$I4)</f>
        <v>34104</v>
      </c>
      <c r="G7" s="30">
        <f ca="1">DATE(YEAR(G$1),MONTH(G$1)+InfoM!$H4,InfoM!$I4)</f>
        <v>34135</v>
      </c>
      <c r="H7" s="30">
        <f ca="1">DATE(YEAR(H$1),MONTH(H$1)+InfoM!$H4,InfoM!$I4)</f>
        <v>34165</v>
      </c>
      <c r="I7" s="30">
        <f ca="1">DATE(YEAR(I$1),MONTH(I$1)+InfoM!$H4,InfoM!$I4)</f>
        <v>34196</v>
      </c>
      <c r="J7" s="30">
        <f ca="1">DATE(YEAR(J$1),MONTH(J$1)+InfoM!$H4,InfoM!$I4)</f>
        <v>34227</v>
      </c>
      <c r="K7" s="30">
        <f ca="1">DATE(YEAR(K$1),MONTH(K$1)+InfoM!$H4,InfoM!$I4)</f>
        <v>34257</v>
      </c>
      <c r="L7" s="30">
        <f ca="1">DATE(YEAR(L$1),MONTH(L$1)+InfoM!$H4,InfoM!$I4)</f>
        <v>34288</v>
      </c>
      <c r="M7" s="30">
        <f ca="1">DATE(YEAR(M$1),MONTH(M$1)+InfoM!$H4,InfoM!$I4)</f>
        <v>34318</v>
      </c>
      <c r="N7" s="30">
        <f ca="1">DATE(YEAR(N$1),MONTH(N$1)+InfoM!$H4,InfoM!$I4)</f>
        <v>34349</v>
      </c>
      <c r="O7" s="30">
        <f ca="1">DATE(YEAR(O$1),MONTH(O$1)+InfoM!$H4,InfoM!$I4)</f>
        <v>34380</v>
      </c>
      <c r="P7" s="30">
        <f ca="1">DATE(YEAR(P$1),MONTH(P$1)+InfoM!$H4,InfoM!$I4)</f>
        <v>34408</v>
      </c>
      <c r="Q7" s="30">
        <f ca="1">DATE(YEAR(Q$1),MONTH(Q$1)+InfoM!$H4,InfoM!$I4)</f>
        <v>34439</v>
      </c>
      <c r="R7" s="30">
        <f ca="1">DATE(YEAR(R$1),MONTH(R$1)+InfoM!$H4,InfoM!$I4)</f>
        <v>34469</v>
      </c>
      <c r="S7" s="30">
        <f ca="1">DATE(YEAR(S$1),MONTH(S$1)+InfoM!$H4,InfoM!$I4)</f>
        <v>34500</v>
      </c>
      <c r="T7" s="30">
        <f ca="1">DATE(YEAR(T$1),MONTH(T$1)+InfoM!$H4,InfoM!$I4)</f>
        <v>34530</v>
      </c>
      <c r="U7" s="30">
        <f ca="1">DATE(YEAR(U$1),MONTH(U$1)+InfoM!$H4,InfoM!$I4)</f>
        <v>34561</v>
      </c>
      <c r="V7" s="30">
        <f ca="1">DATE(YEAR(V$1),MONTH(V$1)+InfoM!$H4,InfoM!$I4)</f>
        <v>34592</v>
      </c>
      <c r="W7" s="30">
        <f ca="1">DATE(YEAR(W$1),MONTH(W$1)+InfoM!$H4,InfoM!$I4)</f>
        <v>34622</v>
      </c>
      <c r="X7" s="30">
        <f ca="1">DATE(YEAR(X$1),MONTH(X$1)+InfoM!$H4,InfoM!$I4)</f>
        <v>34653</v>
      </c>
      <c r="Y7" s="30">
        <f ca="1">DATE(YEAR(Y$1),MONTH(Y$1)+InfoM!$H4,InfoM!$I4)</f>
        <v>34683</v>
      </c>
      <c r="Z7" s="30">
        <f ca="1">DATE(YEAR(Z$1),MONTH(Z$1)+InfoM!$H4,InfoM!$I4)</f>
        <v>34714</v>
      </c>
      <c r="AA7" s="30">
        <f ca="1">DATE(YEAR(AA$1),MONTH(AA$1)+InfoM!$H4,InfoM!$I4)</f>
        <v>34745</v>
      </c>
      <c r="AB7" s="30">
        <f ca="1">DATE(YEAR(AB$1),MONTH(AB$1)+InfoM!$H4,InfoM!$I4)</f>
        <v>34773</v>
      </c>
      <c r="AC7" s="30">
        <f ca="1">DATE(YEAR(AC$1),MONTH(AC$1)+InfoM!$H4,InfoM!$I4)</f>
        <v>34804</v>
      </c>
      <c r="AD7" s="30">
        <f ca="1">DATE(YEAR(AD$1),MONTH(AD$1)+InfoM!$H4,InfoM!$I4)</f>
        <v>34834</v>
      </c>
      <c r="AE7" s="30">
        <f ca="1">DATE(YEAR(AE$1),MONTH(AE$1)+InfoM!$H4,InfoM!$I4)</f>
        <v>34865</v>
      </c>
      <c r="AF7" s="30">
        <f ca="1">DATE(YEAR(AF$1),MONTH(AF$1)+InfoM!$H4,InfoM!$I4)</f>
        <v>34895</v>
      </c>
      <c r="AG7" s="30">
        <f ca="1">DATE(YEAR(AG$1),MONTH(AG$1)+InfoM!$H4,InfoM!$I4)</f>
        <v>34926</v>
      </c>
      <c r="AH7" s="30">
        <f ca="1">DATE(YEAR(AH$1),MONTH(AH$1)+InfoM!$H4,InfoM!$I4)</f>
        <v>34957</v>
      </c>
      <c r="AI7" s="30">
        <f ca="1">DATE(YEAR(AI$1),MONTH(AI$1)+InfoM!$H4,InfoM!$I4)</f>
        <v>34987</v>
      </c>
      <c r="AJ7" s="30">
        <f ca="1">DATE(YEAR(AJ$1),MONTH(AJ$1)+InfoM!$H4,InfoM!$I4)</f>
        <v>35018</v>
      </c>
      <c r="AK7" s="30">
        <f ca="1">DATE(YEAR(AK$1),MONTH(AK$1)+InfoM!$H4,InfoM!$I4)</f>
        <v>35048</v>
      </c>
      <c r="AL7" s="30">
        <f ca="1">DATE(YEAR(AL$1),MONTH(AL$1)+InfoM!$H4,InfoM!$I4)</f>
        <v>35079</v>
      </c>
      <c r="AM7" s="30">
        <f ca="1">DATE(YEAR(AM$1),MONTH(AM$1)+InfoM!$H4,InfoM!$I4)</f>
        <v>35110</v>
      </c>
      <c r="AN7" s="30">
        <f ca="1">DATE(YEAR(AN$1),MONTH(AN$1)+InfoM!$H4,InfoM!$I4)</f>
        <v>35139</v>
      </c>
      <c r="AO7" s="30">
        <f ca="1">DATE(YEAR(AO$1),MONTH(AO$1)+InfoM!$H4,InfoM!$I4)</f>
        <v>35170</v>
      </c>
      <c r="AP7" s="30">
        <f ca="1">DATE(YEAR(AP$1),MONTH(AP$1)+InfoM!$H4,InfoM!$I4)</f>
        <v>35200</v>
      </c>
      <c r="AQ7" s="30">
        <f ca="1">DATE(YEAR(AQ$1),MONTH(AQ$1)+InfoM!$H4,InfoM!$I4)</f>
        <v>35231</v>
      </c>
      <c r="AR7" s="30">
        <f ca="1">DATE(YEAR(AR$1),MONTH(AR$1)+InfoM!$H4,InfoM!$I4)</f>
        <v>35261</v>
      </c>
      <c r="AS7" s="30">
        <f ca="1">DATE(YEAR(AS$1),MONTH(AS$1)+InfoM!$H4,InfoM!$I4)</f>
        <v>35292</v>
      </c>
      <c r="AT7" s="30">
        <f ca="1">DATE(YEAR(AT$1),MONTH(AT$1)+InfoM!$H4,InfoM!$I4)</f>
        <v>35323</v>
      </c>
      <c r="AU7" s="30">
        <f ca="1">DATE(YEAR(AU$1),MONTH(AU$1)+InfoM!$H4,InfoM!$I4)</f>
        <v>35353</v>
      </c>
      <c r="AV7" s="30">
        <f ca="1">DATE(YEAR(AV$1),MONTH(AV$1)+InfoM!$H4,InfoM!$I4)</f>
        <v>35384</v>
      </c>
      <c r="AW7" s="30">
        <f ca="1">DATE(YEAR(AW$1),MONTH(AW$1)+InfoM!$H4,InfoM!$I4)</f>
        <v>35414</v>
      </c>
      <c r="AX7" s="30">
        <f ca="1">DATE(YEAR(AX$1),MONTH(AX$1)+InfoM!$H4,InfoM!$I4)</f>
        <v>35445</v>
      </c>
      <c r="AY7" s="30">
        <f ca="1">DATE(YEAR(AY$1),MONTH(AY$1)+InfoM!$H4,InfoM!$I4)</f>
        <v>35476</v>
      </c>
      <c r="AZ7" s="30">
        <f ca="1">DATE(YEAR(AZ$1),MONTH(AZ$1)+InfoM!$H4,InfoM!$I4)</f>
        <v>35504</v>
      </c>
      <c r="BA7" s="30">
        <f ca="1">DATE(YEAR(BA$1),MONTH(BA$1)+InfoM!$H4,InfoM!$I4)</f>
        <v>35535</v>
      </c>
      <c r="BB7" s="30">
        <f ca="1">DATE(YEAR(BB$1),MONTH(BB$1)+InfoM!$H4,InfoM!$I4)</f>
        <v>35565</v>
      </c>
      <c r="BC7" s="30">
        <f ca="1">DATE(YEAR(BC$1),MONTH(BC$1)+InfoM!$H4,InfoM!$I4)</f>
        <v>35596</v>
      </c>
      <c r="BD7" s="30">
        <f ca="1">DATE(YEAR(BD$1),MONTH(BD$1)+InfoM!$H4,InfoM!$I4)</f>
        <v>35626</v>
      </c>
      <c r="BE7" s="30">
        <f ca="1">DATE(YEAR(BE$1),MONTH(BE$1)+InfoM!$H4,InfoM!$I4)</f>
        <v>35657</v>
      </c>
      <c r="BF7" s="30">
        <f ca="1">DATE(YEAR(BF$1),MONTH(BF$1)+InfoM!$H4,InfoM!$I4)</f>
        <v>35688</v>
      </c>
      <c r="BG7" s="30">
        <f ca="1">DATE(YEAR(BG$1),MONTH(BG$1)+InfoM!$H4,InfoM!$I4)</f>
        <v>35718</v>
      </c>
      <c r="BH7" s="30">
        <f ca="1">DATE(YEAR(BH$1),MONTH(BH$1)+InfoM!$H4,InfoM!$I4)</f>
        <v>35749</v>
      </c>
      <c r="BI7" s="30">
        <f ca="1">DATE(YEAR(BI$1),MONTH(BI$1)+InfoM!$H4,InfoM!$I4)</f>
        <v>35779</v>
      </c>
      <c r="BJ7" s="30">
        <f ca="1">DATE(YEAR(BJ$1),MONTH(BJ$1)+InfoM!$H4,InfoM!$I4)</f>
        <v>35810</v>
      </c>
      <c r="BK7" s="30">
        <f ca="1">DATE(YEAR(BK$1),MONTH(BK$1)+InfoM!$H4,InfoM!$I4)</f>
        <v>35841</v>
      </c>
      <c r="BL7" s="30">
        <f ca="1">DATE(YEAR(BL$1),MONTH(BL$1)+InfoM!$H4,InfoM!$I4)</f>
        <v>35869</v>
      </c>
      <c r="BM7" s="30">
        <f ca="1">DATE(YEAR(BM$1),MONTH(BM$1)+InfoM!$H4,InfoM!$I4)</f>
        <v>35900</v>
      </c>
      <c r="BN7" s="30">
        <f ca="1">DATE(YEAR(BN$1),MONTH(BN$1)+InfoM!$H4,InfoM!$I4)</f>
        <v>35930</v>
      </c>
      <c r="BO7" s="30">
        <f ca="1">DATE(YEAR(BO$1),MONTH(BO$1)+InfoM!$H4,InfoM!$I4)</f>
        <v>35961</v>
      </c>
      <c r="BP7" s="30">
        <f ca="1">DATE(YEAR(BP$1),MONTH(BP$1)+InfoM!$H4,InfoM!$I4)</f>
        <v>35991</v>
      </c>
      <c r="BQ7" s="30">
        <f ca="1">DATE(YEAR(BQ$1),MONTH(BQ$1)+InfoM!$H4,InfoM!$I4)</f>
        <v>36022</v>
      </c>
      <c r="BR7" s="30">
        <f ca="1">DATE(YEAR(BR$1),MONTH(BR$1)+InfoM!$H4,InfoM!$I4)</f>
        <v>36053</v>
      </c>
      <c r="BS7" s="30">
        <f ca="1">DATE(YEAR(BS$1),MONTH(BS$1)+InfoM!$H4,InfoM!$I4)</f>
        <v>36083</v>
      </c>
      <c r="BT7" s="30">
        <f ca="1">DATE(YEAR(BT$1),MONTH(BT$1)+InfoM!$H4,InfoM!$I4)</f>
        <v>36114</v>
      </c>
      <c r="BU7" s="30">
        <f ca="1">DATE(YEAR(BU$1),MONTH(BU$1)+InfoM!$H4,InfoM!$I4)</f>
        <v>36144</v>
      </c>
      <c r="BV7" s="30">
        <f ca="1">DATE(YEAR(BV$1),MONTH(BV$1)+InfoM!$H4,InfoM!$I4)</f>
        <v>36175</v>
      </c>
      <c r="BW7" s="30">
        <f ca="1">DATE(YEAR(BW$1),MONTH(BW$1)+InfoM!$H4,InfoM!$I4)</f>
        <v>36206</v>
      </c>
      <c r="BX7" s="30">
        <f ca="1">DATE(YEAR(BX$1),MONTH(BX$1)+InfoM!$H4,InfoM!$I4)</f>
        <v>36234</v>
      </c>
      <c r="BY7" s="30">
        <f ca="1">DATE(YEAR(BY$1),MONTH(BY$1)+InfoM!$H4,InfoM!$I4)</f>
        <v>36265</v>
      </c>
      <c r="BZ7" s="30">
        <f ca="1">DATE(YEAR(BZ$1),MONTH(BZ$1)+InfoM!$H4,InfoM!$I4)</f>
        <v>36295</v>
      </c>
      <c r="CA7" s="30">
        <f ca="1">DATE(YEAR(CA$1),MONTH(CA$1)+InfoM!$H4,InfoM!$I4)</f>
        <v>36326</v>
      </c>
      <c r="CB7" s="30">
        <f ca="1">DATE(YEAR(CB$1),MONTH(CB$1)+InfoM!$H4,InfoM!$I4)</f>
        <v>36356</v>
      </c>
      <c r="CC7" s="30">
        <f ca="1">DATE(YEAR(CC$1),MONTH(CC$1)+InfoM!$H4,InfoM!$I4)</f>
        <v>36387</v>
      </c>
      <c r="CD7" s="30">
        <f ca="1">DATE(YEAR(CD$1),MONTH(CD$1)+InfoM!$H4,InfoM!$I4)</f>
        <v>36418</v>
      </c>
      <c r="CE7" s="30">
        <f ca="1">DATE(YEAR(CE$1),MONTH(CE$1)+InfoM!$H4,InfoM!$I4)</f>
        <v>36448</v>
      </c>
      <c r="CF7" s="30">
        <f ca="1">DATE(YEAR(CF$1),MONTH(CF$1)+InfoM!$H4,InfoM!$I4)</f>
        <v>36479</v>
      </c>
      <c r="CG7" s="30">
        <f ca="1">DATE(YEAR(CG$1),MONTH(CG$1)+InfoM!$H4,InfoM!$I4)</f>
        <v>36509</v>
      </c>
      <c r="CH7" s="30">
        <f ca="1">DATE(YEAR(CH$1),MONTH(CH$1)+InfoM!$H4,InfoM!$I4)</f>
        <v>36540</v>
      </c>
      <c r="CI7" s="30">
        <f ca="1">DATE(YEAR(CI$1),MONTH(CI$1)+InfoM!$H4,InfoM!$I4)</f>
        <v>36571</v>
      </c>
      <c r="CJ7" s="30">
        <f ca="1">DATE(YEAR(CJ$1),MONTH(CJ$1)+InfoM!$H4,InfoM!$I4)</f>
        <v>36600</v>
      </c>
      <c r="CK7" s="30">
        <f ca="1">DATE(YEAR(CK$1),MONTH(CK$1)+InfoM!$H4,InfoM!$I4)</f>
        <v>36631</v>
      </c>
      <c r="CL7" s="30">
        <f ca="1">DATE(YEAR(CL$1),MONTH(CL$1)+InfoM!$H4,InfoM!$I4)</f>
        <v>36661</v>
      </c>
      <c r="CM7" s="30">
        <f ca="1">DATE(YEAR(CM$1),MONTH(CM$1)+InfoM!$H4,InfoM!$I4)</f>
        <v>36692</v>
      </c>
      <c r="CN7" s="30">
        <f ca="1">DATE(YEAR(CN$1),MONTH(CN$1)+InfoM!$H4,InfoM!$I4)</f>
        <v>36722</v>
      </c>
      <c r="CO7" s="30">
        <f ca="1">DATE(YEAR(CO$1),MONTH(CO$1)+InfoM!$H4,InfoM!$I4)</f>
        <v>36753</v>
      </c>
      <c r="CP7" s="30">
        <f ca="1">DATE(YEAR(CP$1),MONTH(CP$1)+InfoM!$H4,InfoM!$I4)</f>
        <v>36784</v>
      </c>
      <c r="CQ7" s="30">
        <f ca="1">DATE(YEAR(CQ$1),MONTH(CQ$1)+InfoM!$H4,InfoM!$I4)</f>
        <v>36814</v>
      </c>
      <c r="CR7" s="30">
        <f ca="1">DATE(YEAR(CR$1),MONTH(CR$1)+InfoM!$H4,InfoM!$I4)</f>
        <v>36845</v>
      </c>
      <c r="CS7" s="30">
        <f ca="1">DATE(YEAR(CS$1),MONTH(CS$1)+InfoM!$H4,InfoM!$I4)</f>
        <v>36875</v>
      </c>
      <c r="CT7" s="30">
        <f ca="1">DATE(YEAR(CT$1),MONTH(CT$1)+InfoM!$H4,InfoM!$I4)</f>
        <v>36906</v>
      </c>
      <c r="CU7" s="30">
        <f ca="1">DATE(YEAR(CU$1),MONTH(CU$1)+InfoM!$H4,InfoM!$I4)</f>
        <v>36937</v>
      </c>
      <c r="CV7" s="30">
        <f ca="1">DATE(YEAR(CV$1),MONTH(CV$1)+InfoM!$H4,InfoM!$I4)</f>
        <v>36965</v>
      </c>
      <c r="CW7" s="30">
        <f ca="1">DATE(YEAR(CW$1),MONTH(CW$1)+InfoM!$H4,InfoM!$I4)</f>
        <v>36996</v>
      </c>
      <c r="CX7" s="30">
        <f ca="1">DATE(YEAR(CX$1),MONTH(CX$1)+InfoM!$H4,InfoM!$I4)</f>
        <v>37026</v>
      </c>
      <c r="CY7" s="30">
        <f ca="1">DATE(YEAR(CY$1),MONTH(CY$1)+InfoM!$H4,InfoM!$I4)</f>
        <v>37057</v>
      </c>
      <c r="CZ7" s="30">
        <f ca="1">DATE(YEAR(CZ$1),MONTH(CZ$1)+InfoM!$H4,InfoM!$I4)</f>
        <v>37087</v>
      </c>
      <c r="DA7" s="30">
        <f ca="1">DATE(YEAR(DA$1),MONTH(DA$1)+InfoM!$H4,InfoM!$I4)</f>
        <v>37118</v>
      </c>
      <c r="DB7" s="30">
        <f ca="1">DATE(YEAR(DB$1),MONTH(DB$1)+InfoM!$H4,InfoM!$I4)</f>
        <v>37149</v>
      </c>
      <c r="DC7" s="30">
        <f ca="1">DATE(YEAR(DC$1),MONTH(DC$1)+InfoM!$H4,InfoM!$I4)</f>
        <v>37179</v>
      </c>
      <c r="DD7" s="30">
        <f ca="1">DATE(YEAR(DD$1),MONTH(DD$1)+InfoM!$H4,InfoM!$I4)</f>
        <v>37210</v>
      </c>
      <c r="DE7" s="30">
        <f ca="1">DATE(YEAR(DE$1),MONTH(DE$1)+InfoM!$H4,InfoM!$I4)</f>
        <v>37240</v>
      </c>
      <c r="DF7" s="30">
        <f ca="1">DATE(YEAR(DF$1),MONTH(DF$1)+InfoM!$H4,InfoM!$I4)</f>
        <v>37271</v>
      </c>
      <c r="DG7" s="30">
        <f ca="1">DATE(YEAR(DG$1),MONTH(DG$1)+InfoM!$H4,InfoM!$I4)</f>
        <v>37302</v>
      </c>
      <c r="DH7" s="30">
        <f ca="1">DATE(YEAR(DH$1),MONTH(DH$1)+InfoM!$H4,InfoM!$I4)</f>
        <v>37330</v>
      </c>
      <c r="DI7" s="30">
        <f ca="1">DATE(YEAR(DI$1),MONTH(DI$1)+InfoM!$H4,InfoM!$I4)</f>
        <v>37361</v>
      </c>
      <c r="DJ7" s="30">
        <f ca="1">DATE(YEAR(DJ$1),MONTH(DJ$1)+InfoM!$H4,InfoM!$I4)</f>
        <v>37391</v>
      </c>
      <c r="DK7" s="30">
        <f ca="1">DATE(YEAR(DK$1),MONTH(DK$1)+InfoM!$H4,InfoM!$I4)</f>
        <v>37422</v>
      </c>
      <c r="DL7" s="30">
        <f ca="1">DATE(YEAR(DL$1),MONTH(DL$1)+InfoM!$H4,InfoM!$I4)</f>
        <v>37452</v>
      </c>
      <c r="DM7" s="30">
        <f ca="1">DATE(YEAR(DM$1),MONTH(DM$1)+InfoM!$H4,InfoM!$I4)</f>
        <v>37483</v>
      </c>
      <c r="DN7" s="30">
        <f ca="1">DATE(YEAR(DN$1),MONTH(DN$1)+InfoM!$H4,InfoM!$I4)</f>
        <v>37514</v>
      </c>
      <c r="DO7" s="30">
        <f ca="1">DATE(YEAR(DO$1),MONTH(DO$1)+InfoM!$H4,InfoM!$I4)</f>
        <v>37544</v>
      </c>
      <c r="DP7" s="30">
        <f ca="1">DATE(YEAR(DP$1),MONTH(DP$1)+InfoM!$H4,InfoM!$I4)</f>
        <v>37575</v>
      </c>
      <c r="DQ7" s="30">
        <f ca="1">DATE(YEAR(DQ$1),MONTH(DQ$1)+InfoM!$H4,InfoM!$I4)</f>
        <v>37605</v>
      </c>
      <c r="DR7" s="30">
        <f ca="1">DATE(YEAR(DR$1),MONTH(DR$1)+InfoM!$H4,InfoM!$I4)</f>
        <v>37636</v>
      </c>
      <c r="DS7" s="30">
        <f ca="1">DATE(YEAR(DS$1),MONTH(DS$1)+InfoM!$H4,InfoM!$I4)</f>
        <v>37667</v>
      </c>
      <c r="DT7" s="30">
        <f ca="1">DATE(YEAR(DT$1),MONTH(DT$1)+InfoM!$H4,InfoM!$I4)</f>
        <v>37695</v>
      </c>
      <c r="DU7" s="30">
        <f ca="1">DATE(YEAR(DU$1),MONTH(DU$1)+InfoM!$H4,InfoM!$I4)</f>
        <v>37726</v>
      </c>
      <c r="DV7" s="30">
        <f ca="1">DATE(YEAR(DV$1),MONTH(DV$1)+InfoM!$H4,InfoM!$I4)</f>
        <v>37756</v>
      </c>
      <c r="DW7" s="30">
        <f ca="1">DATE(YEAR(DW$1),MONTH(DW$1)+InfoM!$H4,InfoM!$I4)</f>
        <v>37787</v>
      </c>
      <c r="DX7" s="30">
        <f ca="1">DATE(YEAR(DX$1),MONTH(DX$1)+InfoM!$H4,InfoM!$I4)</f>
        <v>37817</v>
      </c>
      <c r="DY7" s="30">
        <f ca="1">DATE(YEAR(DY$1),MONTH(DY$1)+InfoM!$H4,InfoM!$I4)</f>
        <v>37848</v>
      </c>
      <c r="DZ7" s="30">
        <f ca="1">DATE(YEAR(DZ$1),MONTH(DZ$1)+InfoM!$H4,InfoM!$I4)</f>
        <v>37879</v>
      </c>
      <c r="EA7" s="30">
        <f ca="1">DATE(YEAR(EA$1),MONTH(EA$1)+InfoM!$H4,InfoM!$I4)</f>
        <v>37909</v>
      </c>
      <c r="EB7" s="30">
        <f ca="1">DATE(YEAR(EB$1),MONTH(EB$1)+InfoM!$H4,InfoM!$I4)</f>
        <v>37940</v>
      </c>
      <c r="EC7" s="30">
        <f ca="1">DATE(YEAR(EC$1),MONTH(EC$1)+InfoM!$H4,InfoM!$I4)</f>
        <v>37970</v>
      </c>
      <c r="ED7" s="30">
        <f ca="1">DATE(YEAR(ED$1),MONTH(ED$1)+InfoM!$H4,InfoM!$I4)</f>
        <v>38001</v>
      </c>
      <c r="EE7" s="30">
        <f ca="1">DATE(YEAR(EE$1),MONTH(EE$1)+InfoM!$H4,InfoM!$I4)</f>
        <v>38032</v>
      </c>
      <c r="EF7" s="30">
        <f ca="1">DATE(YEAR(EF$1),MONTH(EF$1)+InfoM!$H4,InfoM!$I4)</f>
        <v>38061</v>
      </c>
      <c r="EG7" s="30">
        <f ca="1">DATE(YEAR(EG$1),MONTH(EG$1)+InfoM!$H4,InfoM!$I4)</f>
        <v>38092</v>
      </c>
      <c r="EH7" s="30">
        <f ca="1">DATE(YEAR(EH$1),MONTH(EH$1)+InfoM!$H4,InfoM!$I4)</f>
        <v>38122</v>
      </c>
      <c r="EI7" s="30">
        <f ca="1">DATE(YEAR(EI$1),MONTH(EI$1)+InfoM!$H4,InfoM!$I4)</f>
        <v>38153</v>
      </c>
      <c r="EJ7" s="30">
        <f ca="1">DATE(YEAR(EJ$1),MONTH(EJ$1)+InfoM!$H4,InfoM!$I4)</f>
        <v>38183</v>
      </c>
      <c r="EK7" s="30">
        <f ca="1">DATE(YEAR(EK$1),MONTH(EK$1)+InfoM!$H4,InfoM!$I4)</f>
        <v>38214</v>
      </c>
      <c r="EL7" s="30">
        <f ca="1">DATE(YEAR(EL$1),MONTH(EL$1)+InfoM!$H4,InfoM!$I4)</f>
        <v>38245</v>
      </c>
      <c r="EM7" s="30">
        <f ca="1">DATE(YEAR(EM$1),MONTH(EM$1)+InfoM!$H4,InfoM!$I4)</f>
        <v>38275</v>
      </c>
      <c r="EN7" s="30">
        <f ca="1">DATE(YEAR(EN$1),MONTH(EN$1)+InfoM!$H4,InfoM!$I4)</f>
        <v>38306</v>
      </c>
      <c r="EO7" s="30">
        <f ca="1">DATE(YEAR(EO$1),MONTH(EO$1)+InfoM!$H4,InfoM!$I4)</f>
        <v>38336</v>
      </c>
      <c r="EP7" s="30">
        <f ca="1">DATE(YEAR(EP$1),MONTH(EP$1)+InfoM!$H4,InfoM!$I4)</f>
        <v>38367</v>
      </c>
      <c r="EQ7" s="30">
        <f ca="1">DATE(YEAR(EQ$1),MONTH(EQ$1)+InfoM!$H4,InfoM!$I4)</f>
        <v>38398</v>
      </c>
      <c r="ER7" s="30">
        <f ca="1">DATE(YEAR(ER$1),MONTH(ER$1)+InfoM!$H4,InfoM!$I4)</f>
        <v>38426</v>
      </c>
      <c r="ES7" s="30">
        <f ca="1">DATE(YEAR(ES$1),MONTH(ES$1)+InfoM!$H4,InfoM!$I4)</f>
        <v>38457</v>
      </c>
      <c r="ET7" s="30">
        <f ca="1">DATE(YEAR(ET$1),MONTH(ET$1)+InfoM!$H4,InfoM!$I4)</f>
        <v>38487</v>
      </c>
      <c r="EU7" s="30">
        <f ca="1">DATE(YEAR(EU$1),MONTH(EU$1)+InfoM!$H4,InfoM!$I4)</f>
        <v>38518</v>
      </c>
      <c r="EV7" s="30">
        <f ca="1">DATE(YEAR(EV$1),MONTH(EV$1)+InfoM!$H4,InfoM!$I4)</f>
        <v>38548</v>
      </c>
      <c r="EW7" s="30">
        <f ca="1">DATE(YEAR(EW$1),MONTH(EW$1)+InfoM!$H4,InfoM!$I4)</f>
        <v>38579</v>
      </c>
      <c r="EX7" s="30">
        <f ca="1">DATE(YEAR(EX$1),MONTH(EX$1)+InfoM!$H4,InfoM!$I4)</f>
        <v>38610</v>
      </c>
      <c r="EY7" s="30">
        <f ca="1">DATE(YEAR(EY$1),MONTH(EY$1)+InfoM!$H4,InfoM!$I4)</f>
        <v>38640</v>
      </c>
      <c r="EZ7" s="30">
        <f ca="1">DATE(YEAR(EZ$1),MONTH(EZ$1)+InfoM!$H4,InfoM!$I4)</f>
        <v>38671</v>
      </c>
      <c r="FA7" s="30">
        <f ca="1">DATE(YEAR(FA$1),MONTH(FA$1)+InfoM!$H4,InfoM!$I4)</f>
        <v>38701</v>
      </c>
      <c r="FB7" s="30">
        <f ca="1">DATE(YEAR(FB$1),MONTH(FB$1)+InfoM!$H4,InfoM!$I4)</f>
        <v>38732</v>
      </c>
      <c r="FC7" s="30">
        <f ca="1">DATE(YEAR(FC$1),MONTH(FC$1)+InfoM!$H4,InfoM!$I4)</f>
        <v>38763</v>
      </c>
      <c r="FD7" s="30">
        <f ca="1">DATE(YEAR(FD$1),MONTH(FD$1)+InfoM!$H4,InfoM!$I4)</f>
        <v>38791</v>
      </c>
      <c r="FE7" s="30">
        <f ca="1">DATE(YEAR(FE$1),MONTH(FE$1)+InfoM!$H4,InfoM!$I4)</f>
        <v>38822</v>
      </c>
      <c r="FF7" s="30">
        <f ca="1">DATE(YEAR(FF$1),MONTH(FF$1)+InfoM!$H4,InfoM!$I4)</f>
        <v>38852</v>
      </c>
      <c r="FG7" s="30">
        <f ca="1">DATE(YEAR(FG$1),MONTH(FG$1)+InfoM!$H4,InfoM!$I4)</f>
        <v>38883</v>
      </c>
      <c r="FH7" s="30">
        <f ca="1">DATE(YEAR(FH$1),MONTH(FH$1)+InfoM!$H4,InfoM!$I4)</f>
        <v>38913</v>
      </c>
      <c r="FI7" s="30">
        <f ca="1">DATE(YEAR(FI$1),MONTH(FI$1)+InfoM!$H4,InfoM!$I4)</f>
        <v>38944</v>
      </c>
      <c r="FJ7" s="30">
        <f ca="1">DATE(YEAR(FJ$1),MONTH(FJ$1)+InfoM!$H4,InfoM!$I4)</f>
        <v>38975</v>
      </c>
      <c r="FK7" s="30">
        <f ca="1">DATE(YEAR(FK$1),MONTH(FK$1)+InfoM!$H4,InfoM!$I4)</f>
        <v>39005</v>
      </c>
      <c r="FL7" s="30">
        <f ca="1">DATE(YEAR(FL$1),MONTH(FL$1)+InfoM!$H4,InfoM!$I4)</f>
        <v>39036</v>
      </c>
      <c r="FM7" s="30">
        <f ca="1">DATE(YEAR(FM$1),MONTH(FM$1)+InfoM!$H4,InfoM!$I4)</f>
        <v>39066</v>
      </c>
      <c r="FN7" s="30">
        <f ca="1">DATE(YEAR(FN$1),MONTH(FN$1)+InfoM!$H4,InfoM!$I4)</f>
        <v>39097</v>
      </c>
      <c r="FO7" s="30">
        <f ca="1">DATE(YEAR(FO$1),MONTH(FO$1)+InfoM!$H4,InfoM!$I4)</f>
        <v>39128</v>
      </c>
      <c r="FP7" s="30">
        <f ca="1">DATE(YEAR(FP$1),MONTH(FP$1)+InfoM!$H4,InfoM!$I4)</f>
        <v>39156</v>
      </c>
      <c r="FQ7" s="30">
        <f ca="1">DATE(YEAR(FQ$1),MONTH(FQ$1)+InfoM!$H4,InfoM!$I4)</f>
        <v>39187</v>
      </c>
      <c r="FR7" s="30">
        <f ca="1">DATE(YEAR(FR$1),MONTH(FR$1)+InfoM!$H4,InfoM!$I4)</f>
        <v>39217</v>
      </c>
      <c r="FS7" s="30">
        <f ca="1">DATE(YEAR(FS$1),MONTH(FS$1)+InfoM!$H4,InfoM!$I4)</f>
        <v>39248</v>
      </c>
      <c r="FT7" s="30">
        <f ca="1">DATE(YEAR(FT$1),MONTH(FT$1)+InfoM!$H4,InfoM!$I4)</f>
        <v>39278</v>
      </c>
      <c r="FU7" s="30">
        <f ca="1">DATE(YEAR(FU$1),MONTH(FU$1)+InfoM!$H4,InfoM!$I4)</f>
        <v>39309</v>
      </c>
      <c r="FV7" s="30">
        <f ca="1">DATE(YEAR(FV$1),MONTH(FV$1)+InfoM!$H4,InfoM!$I4)</f>
        <v>39340</v>
      </c>
      <c r="FW7" s="30">
        <f ca="1">DATE(YEAR(FW$1),MONTH(FW$1)+InfoM!$H4,InfoM!$I4)</f>
        <v>39370</v>
      </c>
      <c r="FX7" s="30">
        <f ca="1">DATE(YEAR(FX$1),MONTH(FX$1)+InfoM!$H4,InfoM!$I4)</f>
        <v>39401</v>
      </c>
      <c r="FY7" s="30">
        <f ca="1">DATE(YEAR(FY$1),MONTH(FY$1)+InfoM!$H4,InfoM!$I4)</f>
        <v>39431</v>
      </c>
      <c r="FZ7" s="30">
        <f ca="1">DATE(YEAR(FZ$1),MONTH(FZ$1)+InfoM!$H4,InfoM!$I4)</f>
        <v>39462</v>
      </c>
      <c r="GA7" s="30">
        <f ca="1">DATE(YEAR(GA$1),MONTH(GA$1)+InfoM!$H4,InfoM!$I4)</f>
        <v>39493</v>
      </c>
      <c r="GB7" s="30">
        <f ca="1">DATE(YEAR(GB$1),MONTH(GB$1)+InfoM!$H4,InfoM!$I4)</f>
        <v>39522</v>
      </c>
      <c r="GC7" s="30">
        <f ca="1">DATE(YEAR(GC$1),MONTH(GC$1)+InfoM!$H4,InfoM!$I4)</f>
        <v>39553</v>
      </c>
      <c r="GD7" s="30">
        <f ca="1">DATE(YEAR(GD$1),MONTH(GD$1)+InfoM!$H4,InfoM!$I4)</f>
        <v>39583</v>
      </c>
      <c r="GE7" s="30">
        <f ca="1">DATE(YEAR(GE$1),MONTH(GE$1)+InfoM!$H4,InfoM!$I4)</f>
        <v>39614</v>
      </c>
      <c r="GF7" s="30">
        <f ca="1">DATE(YEAR(GF$1),MONTH(GF$1)+InfoM!$H4,InfoM!$I4)</f>
        <v>39644</v>
      </c>
      <c r="GG7" s="30">
        <f ca="1">DATE(YEAR(GG$1),MONTH(GG$1)+InfoM!$H4,InfoM!$I4)</f>
        <v>39675</v>
      </c>
      <c r="GH7" s="30">
        <f ca="1">DATE(YEAR(GH$1),MONTH(GH$1)+InfoM!$H4,InfoM!$I4)</f>
        <v>39706</v>
      </c>
      <c r="GI7" s="30">
        <f ca="1">DATE(YEAR(GI$1),MONTH(GI$1)+InfoM!$H4,InfoM!$I4)</f>
        <v>39736</v>
      </c>
      <c r="GJ7" s="30">
        <f ca="1">DATE(YEAR(GJ$1),MONTH(GJ$1)+InfoM!$H4,InfoM!$I4)</f>
        <v>39767</v>
      </c>
      <c r="GK7" s="30">
        <f ca="1">DATE(YEAR(GK$1),MONTH(GK$1)+InfoM!$H4,InfoM!$I4)</f>
        <v>39797</v>
      </c>
      <c r="GL7" s="30">
        <f ca="1">DATE(YEAR(GL$1),MONTH(GL$1)+InfoM!$H4,InfoM!$I4)</f>
        <v>39828</v>
      </c>
      <c r="GM7" s="30">
        <f ca="1">DATE(YEAR(GM$1),MONTH(GM$1)+InfoM!$H4,InfoM!$I4)</f>
        <v>39859</v>
      </c>
      <c r="GN7" s="30">
        <f ca="1">DATE(YEAR(GN$1),MONTH(GN$1)+InfoM!$H4,InfoM!$I4)</f>
        <v>39887</v>
      </c>
      <c r="GO7" s="30">
        <f ca="1">DATE(YEAR(GO$1),MONTH(GO$1)+InfoM!$H4,InfoM!$I4)</f>
        <v>39918</v>
      </c>
      <c r="GP7" s="30">
        <f ca="1">DATE(YEAR(GP$1),MONTH(GP$1)+InfoM!$H4,InfoM!$I4)</f>
        <v>39948</v>
      </c>
      <c r="GQ7" s="30">
        <f ca="1">DATE(YEAR(GQ$1),MONTH(GQ$1)+InfoM!$H4,InfoM!$I4)</f>
        <v>39979</v>
      </c>
      <c r="GR7" s="30">
        <f ca="1">DATE(YEAR(GR$1),MONTH(GR$1)+InfoM!$H4,InfoM!$I4)</f>
        <v>40009</v>
      </c>
      <c r="GS7" s="30">
        <f ca="1">DATE(YEAR(GS$1),MONTH(GS$1)+InfoM!$H4,InfoM!$I4)</f>
        <v>40040</v>
      </c>
      <c r="GT7" s="30">
        <f ca="1">DATE(YEAR(GT$1),MONTH(GT$1)+InfoM!$H4,InfoM!$I4)</f>
        <v>40071</v>
      </c>
      <c r="GU7" s="30">
        <f ca="1">DATE(YEAR(GU$1),MONTH(GU$1)+InfoM!$H4,InfoM!$I4)</f>
        <v>40101</v>
      </c>
      <c r="GV7" s="30">
        <f ca="1">DATE(YEAR(GV$1),MONTH(GV$1)+InfoM!$H4,InfoM!$I4)</f>
        <v>40132</v>
      </c>
      <c r="GW7" s="30">
        <f ca="1">DATE(YEAR(GW$1),MONTH(GW$1)+InfoM!$H4,InfoM!$I4)</f>
        <v>40162</v>
      </c>
      <c r="GX7" s="30">
        <f ca="1">DATE(YEAR(GX$1),MONTH(GX$1)+InfoM!$H4,InfoM!$I4)</f>
        <v>40193</v>
      </c>
      <c r="GY7" s="30">
        <f ca="1">DATE(YEAR(GY$1),MONTH(GY$1)+InfoM!$H4,InfoM!$I4)</f>
        <v>40224</v>
      </c>
      <c r="GZ7" s="30">
        <f ca="1">DATE(YEAR(GZ$1),MONTH(GZ$1)+InfoM!$H4,InfoM!$I4)</f>
        <v>40252</v>
      </c>
      <c r="HA7" s="30">
        <f ca="1">DATE(YEAR(HA$1),MONTH(HA$1)+InfoM!$H4,InfoM!$I4)</f>
        <v>40283</v>
      </c>
      <c r="HB7" s="30">
        <f ca="1">DATE(YEAR(HB$1),MONTH(HB$1)+InfoM!$H4,InfoM!$I4)</f>
        <v>40313</v>
      </c>
      <c r="HC7" s="30">
        <f ca="1">DATE(YEAR(HC$1),MONTH(HC$1)+InfoM!$H4,InfoM!$I4)</f>
        <v>40344</v>
      </c>
      <c r="HD7" s="30">
        <f ca="1">DATE(YEAR(HD$1),MONTH(HD$1)+InfoM!$H4,InfoM!$I4)</f>
        <v>40374</v>
      </c>
      <c r="HE7" s="30">
        <f ca="1">DATE(YEAR(HE$1),MONTH(HE$1)+InfoM!$H4,InfoM!$I4)</f>
        <v>40405</v>
      </c>
      <c r="HF7" s="30">
        <f ca="1">DATE(YEAR(HF$1),MONTH(HF$1)+InfoM!$H4,InfoM!$I4)</f>
        <v>40436</v>
      </c>
      <c r="HG7" s="30">
        <f ca="1">DATE(YEAR(HG$1),MONTH(HG$1)+InfoM!$H4,InfoM!$I4)</f>
        <v>40466</v>
      </c>
      <c r="HH7" s="30">
        <f ca="1">DATE(YEAR(HH$1),MONTH(HH$1)+InfoM!$H4,InfoM!$I4)</f>
        <v>40497</v>
      </c>
      <c r="HI7" s="30">
        <f ca="1">DATE(YEAR(HI$1),MONTH(HI$1)+InfoM!$H4,InfoM!$I4)</f>
        <v>40527</v>
      </c>
      <c r="HJ7" s="30">
        <f ca="1">DATE(YEAR(HJ$1),MONTH(HJ$1)+InfoM!$H4,InfoM!$I4)</f>
        <v>40558</v>
      </c>
      <c r="HK7" s="30">
        <f ca="1">DATE(YEAR(HK$1),MONTH(HK$1)+InfoM!$H4,InfoM!$I4)</f>
        <v>40589</v>
      </c>
      <c r="HL7" s="30">
        <f ca="1">DATE(YEAR(HL$1),MONTH(HL$1)+InfoM!$H4,InfoM!$I4)</f>
        <v>40617</v>
      </c>
      <c r="HM7" s="30">
        <f ca="1">DATE(YEAR(HM$1),MONTH(HM$1)+InfoM!$H4,InfoM!$I4)</f>
        <v>40648</v>
      </c>
      <c r="HN7" s="30">
        <f ca="1">DATE(YEAR(HN$1),MONTH(HN$1)+InfoM!$H4,InfoM!$I4)</f>
        <v>40678</v>
      </c>
      <c r="HO7" s="30">
        <f ca="1">DATE(YEAR(HO$1),MONTH(HO$1)+InfoM!$H4,InfoM!$I4)</f>
        <v>40709</v>
      </c>
      <c r="HP7" s="30">
        <f ca="1">DATE(YEAR(HP$1),MONTH(HP$1)+InfoM!$H4,InfoM!$I4)</f>
        <v>40739</v>
      </c>
      <c r="HQ7" s="30">
        <f ca="1">DATE(YEAR(HQ$1),MONTH(HQ$1)+InfoM!$H4,InfoM!$I4)</f>
        <v>40770</v>
      </c>
      <c r="HR7" s="30">
        <f ca="1">DATE(YEAR(HR$1),MONTH(HR$1)+InfoM!$H4,InfoM!$I4)</f>
        <v>40801</v>
      </c>
      <c r="HS7" s="30">
        <f ca="1">DATE(YEAR(HS$1),MONTH(HS$1)+InfoM!$H4,InfoM!$I4)</f>
        <v>40831</v>
      </c>
      <c r="HT7" s="30">
        <f ca="1">DATE(YEAR(HT$1),MONTH(HT$1)+InfoM!$H4,InfoM!$I4)</f>
        <v>40862</v>
      </c>
      <c r="HU7" s="30">
        <f ca="1">DATE(YEAR(HU$1),MONTH(HU$1)+InfoM!$H4,InfoM!$I4)</f>
        <v>40892</v>
      </c>
      <c r="HV7" s="30">
        <f ca="1">DATE(YEAR(HV$1),MONTH(HV$1)+InfoM!$H4,InfoM!$I4)</f>
        <v>40923</v>
      </c>
      <c r="HW7" s="30">
        <f ca="1">DATE(YEAR(HW$1),MONTH(HW$1)+InfoM!$H4,InfoM!$I4)</f>
        <v>40954</v>
      </c>
      <c r="HX7" s="30">
        <f ca="1">DATE(YEAR(HX$1),MONTH(HX$1)+InfoM!$H4,InfoM!$I4)</f>
        <v>40983</v>
      </c>
      <c r="HY7" s="30">
        <f ca="1">DATE(YEAR(HY$1),MONTH(HY$1)+InfoM!$H4,InfoM!$I4)</f>
        <v>41014</v>
      </c>
      <c r="HZ7" s="30">
        <f ca="1">DATE(YEAR(HZ$1),MONTH(HZ$1)+InfoM!$H4,InfoM!$I4)</f>
        <v>41044</v>
      </c>
      <c r="IA7" s="30">
        <f ca="1">DATE(YEAR(IA$1),MONTH(IA$1)+InfoM!$H4,InfoM!$I4)</f>
        <v>41075</v>
      </c>
      <c r="IB7" s="30">
        <f ca="1">DATE(YEAR(IB$1),MONTH(IB$1)+InfoM!$H4,InfoM!$I4)</f>
        <v>41105</v>
      </c>
      <c r="IC7" s="30">
        <f ca="1">DATE(YEAR(IC$1),MONTH(IC$1)+InfoM!$H4,InfoM!$I4)</f>
        <v>41136</v>
      </c>
      <c r="ID7" s="30">
        <f ca="1">DATE(YEAR(ID$1),MONTH(ID$1)+InfoM!$H4,InfoM!$I4)</f>
        <v>41167</v>
      </c>
      <c r="IE7" s="30">
        <f ca="1">DATE(YEAR(IE$1),MONTH(IE$1)+InfoM!$H4,InfoM!$I4)</f>
        <v>41197</v>
      </c>
      <c r="IF7" s="30">
        <f ca="1">DATE(YEAR(IF$1),MONTH(IF$1)+InfoM!$H4,InfoM!$I4)</f>
        <v>41228</v>
      </c>
      <c r="IG7" s="30">
        <f ca="1">DATE(YEAR(IG$1),MONTH(IG$1)+InfoM!$H4,InfoM!$I4)</f>
        <v>41258</v>
      </c>
      <c r="IH7" s="30">
        <f ca="1">DATE(YEAR(IH$1),MONTH(IH$1)+InfoM!$H4,InfoM!$I4)</f>
        <v>41289</v>
      </c>
      <c r="II7" s="30">
        <f ca="1">DATE(YEAR(II$1),MONTH(II$1)+InfoM!$H4,InfoM!$I4)</f>
        <v>41320</v>
      </c>
      <c r="IJ7" s="30">
        <f ca="1">DATE(YEAR(IJ$1),MONTH(IJ$1)+InfoM!$H4,InfoM!$I4)</f>
        <v>41348</v>
      </c>
      <c r="IK7" s="30">
        <f ca="1">DATE(YEAR(IK$1),MONTH(IK$1)+InfoM!$H4,InfoM!$I4)</f>
        <v>41379</v>
      </c>
      <c r="IL7" s="30">
        <f ca="1">DATE(YEAR(IL$1),MONTH(IL$1)+InfoM!$H4,InfoM!$I4)</f>
        <v>41409</v>
      </c>
      <c r="IM7" s="30">
        <f ca="1">DATE(YEAR(IM$1),MONTH(IM$1)+InfoM!$H4,InfoM!$I4)</f>
        <v>41440</v>
      </c>
      <c r="IN7" s="30">
        <f ca="1">DATE(YEAR(IN$1),MONTH(IN$1)+InfoM!$H4,InfoM!$I4)</f>
        <v>41470</v>
      </c>
      <c r="IO7" s="30">
        <f ca="1">DATE(YEAR(IO$1),MONTH(IO$1)+InfoM!$H4,InfoM!$I4)</f>
        <v>41501</v>
      </c>
      <c r="IP7" s="30">
        <f ca="1">DATE(YEAR(IP$1),MONTH(IP$1)+InfoM!$H4,InfoM!$I4)</f>
        <v>41532</v>
      </c>
      <c r="IQ7" s="30">
        <f ca="1">DATE(YEAR(IQ$1),MONTH(IQ$1)+InfoM!$H4,InfoM!$I4)</f>
        <v>41562</v>
      </c>
      <c r="IR7" s="30">
        <f ca="1">DATE(YEAR(IR$1),MONTH(IR$1)+InfoM!$H4,InfoM!$I4)</f>
        <v>41593</v>
      </c>
      <c r="IS7" s="30">
        <f ca="1">DATE(YEAR(IS$1),MONTH(IS$1)+InfoM!$H4,InfoM!$I4)</f>
        <v>41623</v>
      </c>
      <c r="IT7" s="30">
        <f ca="1">DATE(YEAR(IT$1),MONTH(IT$1)+InfoM!$H4,InfoM!$I4)</f>
        <v>41654</v>
      </c>
      <c r="IU7" s="30">
        <f ca="1">DATE(YEAR(IU$1),MONTH(IU$1)+InfoM!$H4,InfoM!$I4)</f>
        <v>41685</v>
      </c>
      <c r="IV7" s="30">
        <f ca="1">DATE(YEAR(IV$1),MONTH(IV$1)+InfoM!$H4,InfoM!$I4)</f>
        <v>41713</v>
      </c>
      <c r="IW7" s="30">
        <f ca="1">DATE(YEAR(IW$1),MONTH(IW$1)+InfoM!$H4,InfoM!$I4)</f>
        <v>41744</v>
      </c>
      <c r="IX7" s="30">
        <f ca="1">DATE(YEAR(IX$1),MONTH(IX$1)+InfoM!$H4,InfoM!$I4)</f>
        <v>41774</v>
      </c>
      <c r="IY7" s="30">
        <f ca="1">DATE(YEAR(IY$1),MONTH(IY$1)+InfoM!$H4,InfoM!$I4)</f>
        <v>41805</v>
      </c>
      <c r="IZ7" s="30">
        <f ca="1">DATE(YEAR(IZ$1),MONTH(IZ$1)+InfoM!$H4,InfoM!$I4)</f>
        <v>41835</v>
      </c>
      <c r="JA7" s="30">
        <f ca="1">DATE(YEAR(JA$1),MONTH(JA$1)+InfoM!$H4,InfoM!$I4)</f>
        <v>41866</v>
      </c>
      <c r="JB7" s="30">
        <f ca="1">DATE(YEAR(JB$1),MONTH(JB$1)+InfoM!$H4,InfoM!$I4)</f>
        <v>41897</v>
      </c>
      <c r="JC7" s="30">
        <f ca="1">DATE(YEAR(JC$1),MONTH(JC$1)+InfoM!$H4,InfoM!$I4)</f>
        <v>41927</v>
      </c>
      <c r="JD7" s="30">
        <f ca="1">DATE(YEAR(JD$1),MONTH(JD$1)+InfoM!$H4,InfoM!$I4)</f>
        <v>41958</v>
      </c>
      <c r="JE7" s="30">
        <f ca="1">DATE(YEAR(JE$1),MONTH(JE$1)+InfoM!$H4,InfoM!$I4)</f>
        <v>41988</v>
      </c>
      <c r="JF7" s="30">
        <f ca="1">DATE(YEAR(JF$1),MONTH(JF$1)+InfoM!$H4,InfoM!$I4)</f>
        <v>42019</v>
      </c>
      <c r="JG7" s="30">
        <f ca="1">DATE(YEAR(JG$1),MONTH(JG$1)+InfoM!$H4,InfoM!$I4)</f>
        <v>42050</v>
      </c>
      <c r="JH7" s="30">
        <f ca="1">DATE(YEAR(JH$1),MONTH(JH$1)+InfoM!$H4,InfoM!$I4)</f>
        <v>42078</v>
      </c>
      <c r="JI7" s="30">
        <f ca="1">DATE(YEAR(JI$1),MONTH(JI$1)+InfoM!$H4,InfoM!$I4)</f>
        <v>42109</v>
      </c>
      <c r="JJ7" s="30">
        <f ca="1">DATE(YEAR(JJ$1),MONTH(JJ$1)+InfoM!$H4,InfoM!$I4)</f>
        <v>42139</v>
      </c>
      <c r="JK7" s="30">
        <f ca="1">DATE(YEAR(JK$1),MONTH(JK$1)+InfoM!$H4,InfoM!$I4)</f>
        <v>42170</v>
      </c>
      <c r="JL7" s="30">
        <f ca="1">DATE(YEAR(JL$1),MONTH(JL$1)+InfoM!$H4,InfoM!$I4)</f>
        <v>42200</v>
      </c>
      <c r="JM7" s="30">
        <f ca="1">DATE(YEAR(JM$1),MONTH(JM$1)+InfoM!$H4,InfoM!$I4)</f>
        <v>42231</v>
      </c>
      <c r="JN7" s="30">
        <f ca="1">DATE(YEAR(JN$1),MONTH(JN$1)+InfoM!$H4,InfoM!$I4)</f>
        <v>42262</v>
      </c>
      <c r="JO7" s="30">
        <f ca="1">DATE(YEAR(JO$1),MONTH(JO$1)+InfoM!$H4,InfoM!$I4)</f>
        <v>42292</v>
      </c>
      <c r="JP7" s="30">
        <f ca="1">DATE(YEAR(JP$1),MONTH(JP$1)+InfoM!$H4,InfoM!$I4)</f>
        <v>42323</v>
      </c>
      <c r="JQ7" s="30">
        <f ca="1">DATE(YEAR(JQ$1),MONTH(JQ$1)+InfoM!$H4,InfoM!$I4)</f>
        <v>42353</v>
      </c>
      <c r="JR7" s="30">
        <f ca="1">DATE(YEAR(JR$1),MONTH(JR$1)+InfoM!$H4,InfoM!$I4)</f>
        <v>42384</v>
      </c>
      <c r="JS7" s="30">
        <f ca="1">DATE(YEAR(JS$1),MONTH(JS$1)+InfoM!$H4,InfoM!$I4)</f>
        <v>42415</v>
      </c>
      <c r="JT7" s="30">
        <f ca="1">DATE(YEAR(JT$1),MONTH(JT$1)+InfoM!$H4,InfoM!$I4)</f>
        <v>42444</v>
      </c>
      <c r="JU7" s="30">
        <f ca="1">DATE(YEAR(JU$1),MONTH(JU$1)+InfoM!$H4,InfoM!$I4)</f>
        <v>42475</v>
      </c>
      <c r="JV7" s="30">
        <f ca="1">DATE(YEAR(JV$1),MONTH(JV$1)+InfoM!$H4,InfoM!$I4)</f>
        <v>42505</v>
      </c>
      <c r="JW7" s="30">
        <f ca="1">DATE(YEAR(JW$1),MONTH(JW$1)+InfoM!$H4,InfoM!$I4)</f>
        <v>42536</v>
      </c>
      <c r="JX7" s="30">
        <f ca="1">DATE(YEAR(JX$1),MONTH(JX$1)+InfoM!$H4,InfoM!$I4)</f>
        <v>42566</v>
      </c>
      <c r="JY7" s="30">
        <f ca="1">DATE(YEAR(JY$1),MONTH(JY$1)+InfoM!$H4,InfoM!$I4)</f>
        <v>42597</v>
      </c>
      <c r="JZ7" s="30">
        <f ca="1">DATE(YEAR(JZ$1),MONTH(JZ$1)+InfoM!$H4,InfoM!$I4)</f>
        <v>42628</v>
      </c>
      <c r="KA7" s="30">
        <f ca="1">DATE(YEAR(KA$1),MONTH(KA$1)+InfoM!$H4,InfoM!$I4)</f>
        <v>42658</v>
      </c>
      <c r="KB7" s="30">
        <f ca="1">DATE(YEAR(KB$1),MONTH(KB$1)+InfoM!$H4,InfoM!$I4)</f>
        <v>42689</v>
      </c>
      <c r="KC7" s="30">
        <f ca="1">DATE(YEAR(KC$1),MONTH(KC$1)+InfoM!$H4,InfoM!$I4)</f>
        <v>42719</v>
      </c>
      <c r="KD7" s="30">
        <f ca="1">DATE(YEAR(KD$1),MONTH(KD$1)+InfoM!$H4,InfoM!$I4)</f>
        <v>42750</v>
      </c>
      <c r="KE7" s="30">
        <f ca="1">DATE(YEAR(KE$1),MONTH(KE$1)+InfoM!$H4,InfoM!$I4)</f>
        <v>42781</v>
      </c>
      <c r="KF7" s="30">
        <f ca="1">DATE(YEAR(KF$1),MONTH(KF$1)+InfoM!$H4,InfoM!$I4)</f>
        <v>42809</v>
      </c>
      <c r="KG7" s="30">
        <f ca="1">DATE(YEAR(KG$1),MONTH(KG$1)+InfoM!$H4,InfoM!$I4)</f>
        <v>42840</v>
      </c>
      <c r="KH7" s="30">
        <f ca="1">DATE(YEAR(KH$1),MONTH(KH$1)+InfoM!$H4,InfoM!$I4)</f>
        <v>42870</v>
      </c>
      <c r="KI7" s="30">
        <f ca="1">DATE(YEAR(KI$1),MONTH(KI$1)+InfoM!$H4,InfoM!$I4)</f>
        <v>42901</v>
      </c>
      <c r="KJ7" s="30">
        <f ca="1">DATE(YEAR(KJ$1),MONTH(KJ$1)+InfoM!$H4,InfoM!$I4)</f>
        <v>42931</v>
      </c>
      <c r="KK7" s="30">
        <f ca="1">DATE(YEAR(KK$1),MONTH(KK$1)+InfoM!$H4,InfoM!$I4)</f>
        <v>42962</v>
      </c>
      <c r="KL7" s="30">
        <f ca="1">DATE(YEAR(KL$1),MONTH(KL$1)+InfoM!$H4,InfoM!$I4)</f>
        <v>42993</v>
      </c>
      <c r="KM7" s="30">
        <f ca="1">DATE(YEAR(KM$1),MONTH(KM$1)+InfoM!$H4,InfoM!$I4)</f>
        <v>43023</v>
      </c>
      <c r="KN7" s="30">
        <f ca="1">DATE(YEAR(KN$1),MONTH(KN$1)+InfoM!$H4,InfoM!$I4)</f>
        <v>43054</v>
      </c>
      <c r="KO7" s="30">
        <f ca="1">DATE(YEAR(KO$1),MONTH(KO$1)+InfoM!$H4,InfoM!$I4)</f>
        <v>43084</v>
      </c>
      <c r="KP7" s="30">
        <f ca="1">DATE(YEAR(KP$1),MONTH(KP$1)+InfoM!$H4,InfoM!$I4)</f>
        <v>43115</v>
      </c>
      <c r="KQ7" s="30">
        <f ca="1">DATE(YEAR(KQ$1),MONTH(KQ$1)+InfoM!$H4,InfoM!$I4)</f>
        <v>43146</v>
      </c>
      <c r="KR7" s="30">
        <f ca="1">DATE(YEAR(KR$1),MONTH(KR$1)+InfoM!$H4,InfoM!$I4)</f>
        <v>43174</v>
      </c>
      <c r="KS7" s="30">
        <f ca="1">DATE(YEAR(KS$1),MONTH(KS$1)+InfoM!$H4,InfoM!$I4)</f>
        <v>43205</v>
      </c>
      <c r="KT7" s="30">
        <f ca="1">DATE(YEAR(KT$1),MONTH(KT$1)+InfoM!$H4,InfoM!$I4)</f>
        <v>43235</v>
      </c>
      <c r="KU7" s="30">
        <f ca="1">DATE(YEAR(KU$1),MONTH(KU$1)+InfoM!$H4,InfoM!$I4)</f>
        <v>43266</v>
      </c>
      <c r="KV7" s="30">
        <f ca="1">DATE(YEAR(KV$1),MONTH(KV$1)+InfoM!$H4,InfoM!$I4)</f>
        <v>43296</v>
      </c>
      <c r="KW7" s="30">
        <f ca="1">DATE(YEAR(KW$1),MONTH(KW$1)+InfoM!$H4,InfoM!$I4)</f>
        <v>43327</v>
      </c>
      <c r="KX7" s="30">
        <f ca="1">DATE(YEAR(KX$1),MONTH(KX$1)+InfoM!$H4,InfoM!$I4)</f>
        <v>43358</v>
      </c>
      <c r="KY7" s="30">
        <f ca="1">DATE(YEAR(KY$1),MONTH(KY$1)+InfoM!$H4,InfoM!$I4)</f>
        <v>43388</v>
      </c>
      <c r="KZ7" s="30">
        <f ca="1">DATE(YEAR(KZ$1),MONTH(KZ$1)+InfoM!$H4,InfoM!$I4)</f>
        <v>43419</v>
      </c>
      <c r="LA7" s="30">
        <f ca="1">DATE(YEAR(LA$1),MONTH(LA$1)+InfoM!$H4,InfoM!$I4)</f>
        <v>43449</v>
      </c>
      <c r="LB7" s="30">
        <f ca="1">DATE(YEAR(LB$1),MONTH(LB$1)+InfoM!$H4,InfoM!$I4)</f>
        <v>43480</v>
      </c>
      <c r="LC7" s="30">
        <f ca="1">DATE(YEAR(LC$1),MONTH(LC$1)+InfoM!$H4,InfoM!$I4)</f>
        <v>43511</v>
      </c>
      <c r="LD7" s="30">
        <f ca="1">DATE(YEAR(LD$1),MONTH(LD$1)+InfoM!$H4,InfoM!$I4)</f>
        <v>43539</v>
      </c>
      <c r="LE7" s="30">
        <f ca="1">DATE(YEAR(LE$1),MONTH(LE$1)+InfoM!$H4,InfoM!$I4)</f>
        <v>43570</v>
      </c>
      <c r="LF7" s="30">
        <f ca="1">DATE(YEAR(LF$1),MONTH(LF$1)+InfoM!$H4,InfoM!$I4)</f>
        <v>43600</v>
      </c>
      <c r="LG7" s="30">
        <f ca="1">DATE(YEAR(LG$1),MONTH(LG$1)+InfoM!$H4,InfoM!$I4)</f>
        <v>43631</v>
      </c>
      <c r="LH7" s="30">
        <f ca="1">DATE(YEAR(LH$1),MONTH(LH$1)+InfoM!$H4,InfoM!$I4)</f>
        <v>43661</v>
      </c>
      <c r="LI7" s="30">
        <f ca="1">DATE(YEAR(LI$1),MONTH(LI$1)+InfoM!$H4,InfoM!$I4)</f>
        <v>43692</v>
      </c>
      <c r="LJ7" s="30">
        <f ca="1">DATE(YEAR(LJ$1),MONTH(LJ$1)+InfoM!$H4,InfoM!$I4)</f>
        <v>43723</v>
      </c>
      <c r="LK7" s="30">
        <f ca="1">DATE(YEAR(LK$1),MONTH(LK$1)+InfoM!$H4,InfoM!$I4)</f>
        <v>43753</v>
      </c>
      <c r="LL7" s="30">
        <f ca="1">DATE(YEAR(LL$1),MONTH(LL$1)+InfoM!$H4,InfoM!$I4)</f>
        <v>43784</v>
      </c>
      <c r="LM7" s="30">
        <f ca="1">DATE(YEAR(LM$1),MONTH(LM$1)+InfoM!$H4,InfoM!$I4)</f>
        <v>43814</v>
      </c>
      <c r="LN7" s="30">
        <f ca="1">DATE(YEAR(LN$1),MONTH(LN$1)+InfoM!$H4,InfoM!$I4)</f>
        <v>43845</v>
      </c>
      <c r="LO7" s="30">
        <f ca="1">DATE(YEAR(LO$1),MONTH(LO$1)+InfoM!$H4,InfoM!$I4)</f>
        <v>43876</v>
      </c>
      <c r="LP7" s="30">
        <f ca="1">DATE(YEAR(LP$1),MONTH(LP$1)+InfoM!$H4,InfoM!$I4)</f>
        <v>43905</v>
      </c>
      <c r="LQ7" s="30">
        <f ca="1">DATE(YEAR(LQ$1),MONTH(LQ$1)+InfoM!$H4,InfoM!$I4)</f>
        <v>43936</v>
      </c>
      <c r="LR7" s="30">
        <f ca="1">DATE(YEAR(LR$1),MONTH(LR$1)+InfoM!$H4,InfoM!$I4)</f>
        <v>43966</v>
      </c>
      <c r="LS7" s="30">
        <f ca="1">DATE(YEAR(LS$1),MONTH(LS$1)+InfoM!$H4,InfoM!$I4)</f>
        <v>43997</v>
      </c>
      <c r="LT7" s="30">
        <f ca="1">DATE(YEAR(LT$1),MONTH(LT$1)+InfoM!$H4,InfoM!$I4)</f>
        <v>44027</v>
      </c>
      <c r="LU7" s="30">
        <f ca="1">DATE(YEAR(LU$1),MONTH(LU$1)+InfoM!$H4,InfoM!$I4)</f>
        <v>44058</v>
      </c>
      <c r="LV7" s="30">
        <f ca="1">DATE(YEAR(LV$1),MONTH(LV$1)+InfoM!$H4,InfoM!$I4)</f>
        <v>44089</v>
      </c>
      <c r="LW7" s="30">
        <f ca="1">DATE(YEAR(LW$1),MONTH(LW$1)+InfoM!$H4,InfoM!$I4)</f>
        <v>44119</v>
      </c>
      <c r="LX7" s="30">
        <f ca="1">DATE(YEAR(LX$1),MONTH(LX$1)+InfoM!$H4,InfoM!$I4)</f>
        <v>44150</v>
      </c>
      <c r="LY7" s="30">
        <f ca="1">DATE(YEAR(LY$1),MONTH(LY$1)+InfoM!$H4,InfoM!$I4)</f>
        <v>44180</v>
      </c>
      <c r="LZ7" s="30">
        <f ca="1">DATE(YEAR(LZ$1),MONTH(LZ$1)+InfoM!$H4,InfoM!$I4)</f>
        <v>44211</v>
      </c>
      <c r="MA7" s="30">
        <f ca="1">DATE(YEAR(MA$1),MONTH(MA$1)+InfoM!$H4,InfoM!$I4)</f>
        <v>44242</v>
      </c>
      <c r="MB7" s="30">
        <f ca="1">DATE(YEAR(MB$1),MONTH(MB$1)+InfoM!$H4,InfoM!$I4)</f>
        <v>44270</v>
      </c>
      <c r="MC7" s="30">
        <f ca="1">DATE(YEAR(MC$1),MONTH(MC$1)+InfoM!$H4,InfoM!$I4)</f>
        <v>44301</v>
      </c>
      <c r="MD7" s="30">
        <f ca="1">DATE(YEAR(MD$1),MONTH(MD$1)+InfoM!$H4,InfoM!$I4)</f>
        <v>44331</v>
      </c>
      <c r="ME7" s="30">
        <f ca="1">DATE(YEAR(ME$1),MONTH(ME$1)+InfoM!$H4,InfoM!$I4)</f>
        <v>44362</v>
      </c>
      <c r="MF7" s="30">
        <f ca="1">DATE(YEAR(MF$1),MONTH(MF$1)+InfoM!$H4,InfoM!$I4)</f>
        <v>44392</v>
      </c>
      <c r="MG7" s="30">
        <f ca="1">DATE(YEAR(MG$1),MONTH(MG$1)+InfoM!$H4,InfoM!$I4)</f>
        <v>44423</v>
      </c>
      <c r="MH7" s="30">
        <f ca="1">DATE(YEAR(MH$1),MONTH(MH$1)+InfoM!$H4,InfoM!$I4)</f>
        <v>44454</v>
      </c>
      <c r="MI7" s="30">
        <f ca="1">DATE(YEAR(MI$1),MONTH(MI$1)+InfoM!$H4,InfoM!$I4)</f>
        <v>44484</v>
      </c>
      <c r="MJ7" s="30">
        <f ca="1">DATE(YEAR(MJ$1),MONTH(MJ$1)+InfoM!$H4,InfoM!$I4)</f>
        <v>44515</v>
      </c>
      <c r="MK7" s="30">
        <f ca="1">DATE(YEAR(MK$1),MONTH(MK$1)+InfoM!$H4,InfoM!$I4)</f>
        <v>44545</v>
      </c>
      <c r="ML7" s="30">
        <f ca="1">DATE(YEAR(ML$1),MONTH(ML$1)+InfoM!$H4,InfoM!$I4)</f>
        <v>44576</v>
      </c>
      <c r="MM7" s="30">
        <f ca="1">DATE(YEAR(MM$1),MONTH(MM$1)+InfoM!$H4,InfoM!$I4)</f>
        <v>44607</v>
      </c>
      <c r="MN7" s="30">
        <f ca="1">DATE(YEAR(MN$1),MONTH(MN$1)+InfoM!$H4,InfoM!$I4)</f>
        <v>44635</v>
      </c>
      <c r="MO7" s="30">
        <f ca="1">DATE(YEAR(MO$1),MONTH(MO$1)+InfoM!$H4,InfoM!$I4)</f>
        <v>44666</v>
      </c>
      <c r="MP7" s="30">
        <f ca="1">DATE(YEAR(MP$1),MONTH(MP$1)+InfoM!$H4,InfoM!$I4)</f>
        <v>44696</v>
      </c>
      <c r="MQ7" s="30">
        <f ca="1">DATE(YEAR(MQ$1),MONTH(MQ$1)+InfoM!$H4,InfoM!$I4)</f>
        <v>44727</v>
      </c>
      <c r="MR7" s="30">
        <f ca="1">DATE(YEAR(MR$1),MONTH(MR$1)+InfoM!$H4,InfoM!$I4)</f>
        <v>44757</v>
      </c>
      <c r="MS7" s="30">
        <f ca="1">DATE(YEAR(MS$1),MONTH(MS$1)+InfoM!$H4,InfoM!$I4)</f>
        <v>44788</v>
      </c>
      <c r="MT7" s="30">
        <f ca="1">DATE(YEAR(MT$1),MONTH(MT$1)+InfoM!$H4,InfoM!$I4)</f>
        <v>44819</v>
      </c>
      <c r="MU7" s="30">
        <f ca="1">DATE(YEAR(MU$1),MONTH(MU$1)+InfoM!$H4,InfoM!$I4)</f>
        <v>44849</v>
      </c>
      <c r="MV7" s="30">
        <f ca="1">DATE(YEAR(MV$1),MONTH(MV$1)+InfoM!$H4,InfoM!$I4)</f>
        <v>44880</v>
      </c>
      <c r="MW7" s="30">
        <f ca="1">DATE(YEAR(MW$1),MONTH(MW$1)+InfoM!$H4,InfoM!$I4)</f>
        <v>44910</v>
      </c>
      <c r="MX7" s="30">
        <f ca="1">DATE(YEAR(MX$1),MONTH(MX$1)+InfoM!$H4,InfoM!$I4)</f>
        <v>44941</v>
      </c>
      <c r="MY7" s="30">
        <f ca="1">DATE(YEAR(MY$1),MONTH(MY$1)+InfoM!$H4,InfoM!$I4)</f>
        <v>44972</v>
      </c>
      <c r="MZ7" s="30">
        <f ca="1">DATE(YEAR(MZ$1),MONTH(MZ$1)+InfoM!$H4,InfoM!$I4)</f>
        <v>45000</v>
      </c>
      <c r="NA7" s="30">
        <f ca="1">DATE(YEAR(NA$1),MONTH(NA$1)+InfoM!$H4,InfoM!$I4)</f>
        <v>45031</v>
      </c>
      <c r="NB7" s="30">
        <f ca="1">DATE(YEAR(NB$1),MONTH(NB$1)+InfoM!$H4,InfoM!$I4)</f>
        <v>45061</v>
      </c>
      <c r="NC7" s="30">
        <f ca="1">DATE(YEAR(NC$1),MONTH(NC$1)+InfoM!$H4,InfoM!$I4)</f>
        <v>45092</v>
      </c>
      <c r="ND7" s="30">
        <f ca="1">DATE(YEAR(ND$1),MONTH(ND$1)+InfoM!$H4,InfoM!$I4)</f>
        <v>45122</v>
      </c>
      <c r="NE7" s="30">
        <f ca="1">DATE(YEAR(NE$1),MONTH(NE$1)+InfoM!$H4,InfoM!$I4)</f>
        <v>45153</v>
      </c>
      <c r="NF7" s="30">
        <f ca="1">DATE(YEAR(NF$1),MONTH(NF$1)+InfoM!$H4,InfoM!$I4)</f>
        <v>45184</v>
      </c>
      <c r="NG7" s="30">
        <f ca="1">DATE(YEAR(NG$1),MONTH(NG$1)+InfoM!$H4,InfoM!$I4)</f>
        <v>45214</v>
      </c>
      <c r="NH7" s="30">
        <f ca="1">DATE(YEAR(NH$1),MONTH(NH$1)+InfoM!$H4,InfoM!$I4)</f>
        <v>45245</v>
      </c>
      <c r="NI7" s="30">
        <f ca="1">DATE(YEAR(NI$1),MONTH(NI$1)+InfoM!$H4,InfoM!$I4)</f>
        <v>45275</v>
      </c>
      <c r="NJ7" s="30">
        <f ca="1">DATE(YEAR(NJ$1),MONTH(NJ$1)+InfoM!$H4,InfoM!$I4)</f>
        <v>45306</v>
      </c>
      <c r="NK7" s="30">
        <f ca="1">DATE(YEAR(NK$1),MONTH(NK$1)+InfoM!$H4,InfoM!$I4)</f>
        <v>45337</v>
      </c>
      <c r="NL7" s="30">
        <f ca="1">DATE(YEAR(NL$1),MONTH(NL$1)+InfoM!$H4,InfoM!$I4)</f>
        <v>45366</v>
      </c>
      <c r="NM7" s="30">
        <f ca="1">DATE(YEAR(NM$1),MONTH(NM$1)+InfoM!$H4,InfoM!$I4)</f>
        <v>45397</v>
      </c>
      <c r="NN7" s="30">
        <f ca="1">DATE(YEAR(NN$1),MONTH(NN$1)+InfoM!$H4,InfoM!$I4)</f>
        <v>45427</v>
      </c>
      <c r="NO7" s="30">
        <f ca="1">DATE(YEAR(NO$1),MONTH(NO$1)+InfoM!$H4,InfoM!$I4)</f>
        <v>45458</v>
      </c>
      <c r="NP7" s="30">
        <f ca="1">DATE(YEAR(NP$1),MONTH(NP$1)+InfoM!$H4,InfoM!$I4)</f>
        <v>45488</v>
      </c>
      <c r="NQ7" s="30">
        <f ca="1">DATE(YEAR(NQ$1),MONTH(NQ$1)+InfoM!$H4,InfoM!$I4)</f>
        <v>45519</v>
      </c>
      <c r="NR7" s="30">
        <f ca="1">DATE(YEAR(NR$1),MONTH(NR$1)+InfoM!$H4,InfoM!$I4)</f>
        <v>45550</v>
      </c>
      <c r="NS7" s="30">
        <f ca="1">DATE(YEAR(NS$1),MONTH(NS$1)+InfoM!$H4,InfoM!$I4)</f>
        <v>45580</v>
      </c>
      <c r="NT7" s="30">
        <f ca="1">DATE(YEAR(NT$1),MONTH(NT$1)+InfoM!$H4,InfoM!$I4)</f>
        <v>45611</v>
      </c>
      <c r="NU7" s="30">
        <f ca="1">DATE(YEAR(NU$1),MONTH(NU$1)+InfoM!$H4,InfoM!$I4)</f>
        <v>45641</v>
      </c>
      <c r="NV7" s="30">
        <f ca="1">DATE(YEAR(NV$1),MONTH(NV$1)+InfoM!$H4,InfoM!$I4)</f>
        <v>45672</v>
      </c>
      <c r="NW7" s="30">
        <f ca="1">DATE(YEAR(NW$1),MONTH(NW$1)+InfoM!$H4,InfoM!$I4)</f>
        <v>45703</v>
      </c>
      <c r="NX7" s="30">
        <f ca="1">DATE(YEAR(NX$1),MONTH(NX$1)+InfoM!$H4,InfoM!$I4)</f>
        <v>45731</v>
      </c>
      <c r="NY7" s="30">
        <f ca="1">DATE(YEAR(NY$1),MONTH(NY$1)+InfoM!$H4,InfoM!$I4)</f>
        <v>45762</v>
      </c>
      <c r="NZ7" s="30">
        <f ca="1">DATE(YEAR(NZ$1),MONTH(NZ$1)+InfoM!$H4,InfoM!$I4)</f>
        <v>45792</v>
      </c>
      <c r="OA7" s="30">
        <f ca="1">DATE(YEAR(OA$1),MONTH(OA$1)+InfoM!$H4,InfoM!$I4)</f>
        <v>45823</v>
      </c>
      <c r="OB7" s="30">
        <f ca="1">DATE(YEAR(OB$1),MONTH(OB$1)+InfoM!$H4,InfoM!$I4)</f>
        <v>45853</v>
      </c>
      <c r="OC7" s="30">
        <f ca="1">DATE(YEAR(OC$1),MONTH(OC$1)+InfoM!$H4,InfoM!$I4)</f>
        <v>45884</v>
      </c>
      <c r="OD7" s="30">
        <f ca="1">DATE(YEAR(OD$1),MONTH(OD$1)+InfoM!$H4,InfoM!$I4)</f>
        <v>45915</v>
      </c>
      <c r="OE7" s="30">
        <f ca="1">DATE(YEAR(OE$1),MONTH(OE$1)+InfoM!$H4,InfoM!$I4)</f>
        <v>45945</v>
      </c>
      <c r="OF7" s="30">
        <f ca="1">DATE(YEAR(OF$1),MONTH(OF$1)+InfoM!$H4,InfoM!$I4)</f>
        <v>45976</v>
      </c>
      <c r="OG7" s="30">
        <f ca="1">DATE(YEAR(OG$1),MONTH(OG$1)+InfoM!$H4,InfoM!$I4)</f>
        <v>46006</v>
      </c>
      <c r="OH7" s="30">
        <f ca="1">DATE(YEAR(OH$1),MONTH(OH$1)+InfoM!$H4,InfoM!$I4)</f>
        <v>46037</v>
      </c>
      <c r="OI7" s="30">
        <f ca="1">DATE(YEAR(OI$1),MONTH(OI$1)+InfoM!$H4,InfoM!$I4)</f>
        <v>46068</v>
      </c>
      <c r="OJ7" s="30">
        <f ca="1">DATE(YEAR(OJ$1),MONTH(OJ$1)+InfoM!$H4,InfoM!$I4)</f>
        <v>46096</v>
      </c>
      <c r="OK7" s="30">
        <f ca="1">DATE(YEAR(OK$1),MONTH(OK$1)+InfoM!$H4,InfoM!$I4)</f>
        <v>46127</v>
      </c>
      <c r="OL7" s="30">
        <f ca="1">DATE(YEAR(OL$1),MONTH(OL$1)+InfoM!$H4,InfoM!$I4)</f>
        <v>46157</v>
      </c>
      <c r="OM7" s="30">
        <f ca="1">DATE(YEAR(OM$1),MONTH(OM$1)+InfoM!$H4,InfoM!$I4)</f>
        <v>46188</v>
      </c>
      <c r="ON7" s="30">
        <f ca="1">DATE(YEAR(ON$1),MONTH(ON$1)+InfoM!$H4,InfoM!$I4)</f>
        <v>46218</v>
      </c>
      <c r="OO7" s="30">
        <f ca="1">DATE(YEAR(OO$1),MONTH(OO$1)+InfoM!$H4,InfoM!$I4)</f>
        <v>46249</v>
      </c>
      <c r="OP7" s="30">
        <f ca="1">DATE(YEAR(OP$1),MONTH(OP$1)+InfoM!$H4,InfoM!$I4)</f>
        <v>46280</v>
      </c>
      <c r="OQ7" s="30">
        <f ca="1">DATE(YEAR(OQ$1),MONTH(OQ$1)+InfoM!$H4,InfoM!$I4)</f>
        <v>46310</v>
      </c>
      <c r="OR7" s="30">
        <f ca="1">DATE(YEAR(OR$1),MONTH(OR$1)+InfoM!$H4,InfoM!$I4)</f>
        <v>46341</v>
      </c>
      <c r="OS7" s="30">
        <f ca="1">DATE(YEAR(OS$1),MONTH(OS$1)+InfoM!$H4,InfoM!$I4)</f>
        <v>46371</v>
      </c>
      <c r="OT7" s="30">
        <f ca="1">DATE(YEAR(OT$1),MONTH(OT$1)+InfoM!$H4,InfoM!$I4)</f>
        <v>46402</v>
      </c>
    </row>
    <row r="8" spans="1:410" x14ac:dyDescent="0.35">
      <c r="A8" s="19" t="str">
        <f>InfoM!A5</f>
        <v>Cement</v>
      </c>
      <c r="B8">
        <f>InfoM!G5</f>
        <v>1</v>
      </c>
      <c r="C8" s="30">
        <f>DATE(YEAR(C$1),MONTH(C$1)+InfoM!$H5,InfoM!$I5)</f>
        <v>34026</v>
      </c>
      <c r="D8" s="30">
        <f ca="1">DATE(YEAR(D$1),MONTH(D$1)+InfoM!$H5,InfoM!$I5)</f>
        <v>34054</v>
      </c>
      <c r="E8" s="30">
        <f ca="1">DATE(YEAR(E$1),MONTH(E$1)+InfoM!$H5,InfoM!$I5)</f>
        <v>34085</v>
      </c>
      <c r="F8" s="30">
        <f ca="1">DATE(YEAR(F$1),MONTH(F$1)+InfoM!$H5,InfoM!$I5)</f>
        <v>34115</v>
      </c>
      <c r="G8" s="30">
        <f ca="1">DATE(YEAR(G$1),MONTH(G$1)+InfoM!$H5,InfoM!$I5)</f>
        <v>34146</v>
      </c>
      <c r="H8" s="30">
        <f ca="1">DATE(YEAR(H$1),MONTH(H$1)+InfoM!$H5,InfoM!$I5)</f>
        <v>34176</v>
      </c>
      <c r="I8" s="30">
        <f ca="1">DATE(YEAR(I$1),MONTH(I$1)+InfoM!$H5,InfoM!$I5)</f>
        <v>34207</v>
      </c>
      <c r="J8" s="30">
        <f ca="1">DATE(YEAR(J$1),MONTH(J$1)+InfoM!$H5,InfoM!$I5)</f>
        <v>34238</v>
      </c>
      <c r="K8" s="30">
        <f ca="1">DATE(YEAR(K$1),MONTH(K$1)+InfoM!$H5,InfoM!$I5)</f>
        <v>34268</v>
      </c>
      <c r="L8" s="30">
        <f ca="1">DATE(YEAR(L$1),MONTH(L$1)+InfoM!$H5,InfoM!$I5)</f>
        <v>34299</v>
      </c>
      <c r="M8" s="30">
        <f ca="1">DATE(YEAR(M$1),MONTH(M$1)+InfoM!$H5,InfoM!$I5)</f>
        <v>34329</v>
      </c>
      <c r="N8" s="30">
        <f ca="1">DATE(YEAR(N$1),MONTH(N$1)+InfoM!$H5,InfoM!$I5)</f>
        <v>34360</v>
      </c>
      <c r="O8" s="30">
        <f ca="1">DATE(YEAR(O$1),MONTH(O$1)+InfoM!$H5,InfoM!$I5)</f>
        <v>34391</v>
      </c>
      <c r="P8" s="30">
        <f ca="1">DATE(YEAR(P$1),MONTH(P$1)+InfoM!$H5,InfoM!$I5)</f>
        <v>34419</v>
      </c>
      <c r="Q8" s="30">
        <f ca="1">DATE(YEAR(Q$1),MONTH(Q$1)+InfoM!$H5,InfoM!$I5)</f>
        <v>34450</v>
      </c>
      <c r="R8" s="30">
        <f ca="1">DATE(YEAR(R$1),MONTH(R$1)+InfoM!$H5,InfoM!$I5)</f>
        <v>34480</v>
      </c>
      <c r="S8" s="30">
        <f ca="1">DATE(YEAR(S$1),MONTH(S$1)+InfoM!$H5,InfoM!$I5)</f>
        <v>34511</v>
      </c>
      <c r="T8" s="30">
        <f ca="1">DATE(YEAR(T$1),MONTH(T$1)+InfoM!$H5,InfoM!$I5)</f>
        <v>34541</v>
      </c>
      <c r="U8" s="30">
        <f ca="1">DATE(YEAR(U$1),MONTH(U$1)+InfoM!$H5,InfoM!$I5)</f>
        <v>34572</v>
      </c>
      <c r="V8" s="30">
        <f ca="1">DATE(YEAR(V$1),MONTH(V$1)+InfoM!$H5,InfoM!$I5)</f>
        <v>34603</v>
      </c>
      <c r="W8" s="30">
        <f ca="1">DATE(YEAR(W$1),MONTH(W$1)+InfoM!$H5,InfoM!$I5)</f>
        <v>34633</v>
      </c>
      <c r="X8" s="30">
        <f ca="1">DATE(YEAR(X$1),MONTH(X$1)+InfoM!$H5,InfoM!$I5)</f>
        <v>34664</v>
      </c>
      <c r="Y8" s="30">
        <f ca="1">DATE(YEAR(Y$1),MONTH(Y$1)+InfoM!$H5,InfoM!$I5)</f>
        <v>34694</v>
      </c>
      <c r="Z8" s="30">
        <f ca="1">DATE(YEAR(Z$1),MONTH(Z$1)+InfoM!$H5,InfoM!$I5)</f>
        <v>34725</v>
      </c>
      <c r="AA8" s="30">
        <f ca="1">DATE(YEAR(AA$1),MONTH(AA$1)+InfoM!$H5,InfoM!$I5)</f>
        <v>34756</v>
      </c>
      <c r="AB8" s="30">
        <f ca="1">DATE(YEAR(AB$1),MONTH(AB$1)+InfoM!$H5,InfoM!$I5)</f>
        <v>34784</v>
      </c>
      <c r="AC8" s="30">
        <f ca="1">DATE(YEAR(AC$1),MONTH(AC$1)+InfoM!$H5,InfoM!$I5)</f>
        <v>34815</v>
      </c>
      <c r="AD8" s="30">
        <f ca="1">DATE(YEAR(AD$1),MONTH(AD$1)+InfoM!$H5,InfoM!$I5)</f>
        <v>34845</v>
      </c>
      <c r="AE8" s="30">
        <f ca="1">DATE(YEAR(AE$1),MONTH(AE$1)+InfoM!$H5,InfoM!$I5)</f>
        <v>34876</v>
      </c>
      <c r="AF8" s="30">
        <f ca="1">DATE(YEAR(AF$1),MONTH(AF$1)+InfoM!$H5,InfoM!$I5)</f>
        <v>34906</v>
      </c>
      <c r="AG8" s="30">
        <f ca="1">DATE(YEAR(AG$1),MONTH(AG$1)+InfoM!$H5,InfoM!$I5)</f>
        <v>34937</v>
      </c>
      <c r="AH8" s="30">
        <f ca="1">DATE(YEAR(AH$1),MONTH(AH$1)+InfoM!$H5,InfoM!$I5)</f>
        <v>34968</v>
      </c>
      <c r="AI8" s="30">
        <f ca="1">DATE(YEAR(AI$1),MONTH(AI$1)+InfoM!$H5,InfoM!$I5)</f>
        <v>34998</v>
      </c>
      <c r="AJ8" s="30">
        <f ca="1">DATE(YEAR(AJ$1),MONTH(AJ$1)+InfoM!$H5,InfoM!$I5)</f>
        <v>35029</v>
      </c>
      <c r="AK8" s="30">
        <f ca="1">DATE(YEAR(AK$1),MONTH(AK$1)+InfoM!$H5,InfoM!$I5)</f>
        <v>35059</v>
      </c>
      <c r="AL8" s="30">
        <f ca="1">DATE(YEAR(AL$1),MONTH(AL$1)+InfoM!$H5,InfoM!$I5)</f>
        <v>35090</v>
      </c>
      <c r="AM8" s="30">
        <f ca="1">DATE(YEAR(AM$1),MONTH(AM$1)+InfoM!$H5,InfoM!$I5)</f>
        <v>35121</v>
      </c>
      <c r="AN8" s="30">
        <f ca="1">DATE(YEAR(AN$1),MONTH(AN$1)+InfoM!$H5,InfoM!$I5)</f>
        <v>35150</v>
      </c>
      <c r="AO8" s="30">
        <f ca="1">DATE(YEAR(AO$1),MONTH(AO$1)+InfoM!$H5,InfoM!$I5)</f>
        <v>35181</v>
      </c>
      <c r="AP8" s="30">
        <f ca="1">DATE(YEAR(AP$1),MONTH(AP$1)+InfoM!$H5,InfoM!$I5)</f>
        <v>35211</v>
      </c>
      <c r="AQ8" s="30">
        <f ca="1">DATE(YEAR(AQ$1),MONTH(AQ$1)+InfoM!$H5,InfoM!$I5)</f>
        <v>35242</v>
      </c>
      <c r="AR8" s="30">
        <f ca="1">DATE(YEAR(AR$1),MONTH(AR$1)+InfoM!$H5,InfoM!$I5)</f>
        <v>35272</v>
      </c>
      <c r="AS8" s="30">
        <f ca="1">DATE(YEAR(AS$1),MONTH(AS$1)+InfoM!$H5,InfoM!$I5)</f>
        <v>35303</v>
      </c>
      <c r="AT8" s="30">
        <f ca="1">DATE(YEAR(AT$1),MONTH(AT$1)+InfoM!$H5,InfoM!$I5)</f>
        <v>35334</v>
      </c>
      <c r="AU8" s="30">
        <f ca="1">DATE(YEAR(AU$1),MONTH(AU$1)+InfoM!$H5,InfoM!$I5)</f>
        <v>35364</v>
      </c>
      <c r="AV8" s="30">
        <f ca="1">DATE(YEAR(AV$1),MONTH(AV$1)+InfoM!$H5,InfoM!$I5)</f>
        <v>35395</v>
      </c>
      <c r="AW8" s="30">
        <f ca="1">DATE(YEAR(AW$1),MONTH(AW$1)+InfoM!$H5,InfoM!$I5)</f>
        <v>35425</v>
      </c>
      <c r="AX8" s="30">
        <f ca="1">DATE(YEAR(AX$1),MONTH(AX$1)+InfoM!$H5,InfoM!$I5)</f>
        <v>35456</v>
      </c>
      <c r="AY8" s="30">
        <f ca="1">DATE(YEAR(AY$1),MONTH(AY$1)+InfoM!$H5,InfoM!$I5)</f>
        <v>35487</v>
      </c>
      <c r="AZ8" s="30">
        <f ca="1">DATE(YEAR(AZ$1),MONTH(AZ$1)+InfoM!$H5,InfoM!$I5)</f>
        <v>35515</v>
      </c>
      <c r="BA8" s="30">
        <f ca="1">DATE(YEAR(BA$1),MONTH(BA$1)+InfoM!$H5,InfoM!$I5)</f>
        <v>35546</v>
      </c>
      <c r="BB8" s="30">
        <f ca="1">DATE(YEAR(BB$1),MONTH(BB$1)+InfoM!$H5,InfoM!$I5)</f>
        <v>35576</v>
      </c>
      <c r="BC8" s="30">
        <f ca="1">DATE(YEAR(BC$1),MONTH(BC$1)+InfoM!$H5,InfoM!$I5)</f>
        <v>35607</v>
      </c>
      <c r="BD8" s="30">
        <f ca="1">DATE(YEAR(BD$1),MONTH(BD$1)+InfoM!$H5,InfoM!$I5)</f>
        <v>35637</v>
      </c>
      <c r="BE8" s="30">
        <f ca="1">DATE(YEAR(BE$1),MONTH(BE$1)+InfoM!$H5,InfoM!$I5)</f>
        <v>35668</v>
      </c>
      <c r="BF8" s="30">
        <f ca="1">DATE(YEAR(BF$1),MONTH(BF$1)+InfoM!$H5,InfoM!$I5)</f>
        <v>35699</v>
      </c>
      <c r="BG8" s="30">
        <f ca="1">DATE(YEAR(BG$1),MONTH(BG$1)+InfoM!$H5,InfoM!$I5)</f>
        <v>35729</v>
      </c>
      <c r="BH8" s="30">
        <f ca="1">DATE(YEAR(BH$1),MONTH(BH$1)+InfoM!$H5,InfoM!$I5)</f>
        <v>35760</v>
      </c>
      <c r="BI8" s="30">
        <f ca="1">DATE(YEAR(BI$1),MONTH(BI$1)+InfoM!$H5,InfoM!$I5)</f>
        <v>35790</v>
      </c>
      <c r="BJ8" s="30">
        <f ca="1">DATE(YEAR(BJ$1),MONTH(BJ$1)+InfoM!$H5,InfoM!$I5)</f>
        <v>35821</v>
      </c>
      <c r="BK8" s="30">
        <f ca="1">DATE(YEAR(BK$1),MONTH(BK$1)+InfoM!$H5,InfoM!$I5)</f>
        <v>35852</v>
      </c>
      <c r="BL8" s="30">
        <f ca="1">DATE(YEAR(BL$1),MONTH(BL$1)+InfoM!$H5,InfoM!$I5)</f>
        <v>35880</v>
      </c>
      <c r="BM8" s="30">
        <f ca="1">DATE(YEAR(BM$1),MONTH(BM$1)+InfoM!$H5,InfoM!$I5)</f>
        <v>35911</v>
      </c>
      <c r="BN8" s="30">
        <f ca="1">DATE(YEAR(BN$1),MONTH(BN$1)+InfoM!$H5,InfoM!$I5)</f>
        <v>35941</v>
      </c>
      <c r="BO8" s="30">
        <f ca="1">DATE(YEAR(BO$1),MONTH(BO$1)+InfoM!$H5,InfoM!$I5)</f>
        <v>35972</v>
      </c>
      <c r="BP8" s="30">
        <f ca="1">DATE(YEAR(BP$1),MONTH(BP$1)+InfoM!$H5,InfoM!$I5)</f>
        <v>36002</v>
      </c>
      <c r="BQ8" s="30">
        <f ca="1">DATE(YEAR(BQ$1),MONTH(BQ$1)+InfoM!$H5,InfoM!$I5)</f>
        <v>36033</v>
      </c>
      <c r="BR8" s="30">
        <f ca="1">DATE(YEAR(BR$1),MONTH(BR$1)+InfoM!$H5,InfoM!$I5)</f>
        <v>36064</v>
      </c>
      <c r="BS8" s="30">
        <f ca="1">DATE(YEAR(BS$1),MONTH(BS$1)+InfoM!$H5,InfoM!$I5)</f>
        <v>36094</v>
      </c>
      <c r="BT8" s="30">
        <f ca="1">DATE(YEAR(BT$1),MONTH(BT$1)+InfoM!$H5,InfoM!$I5)</f>
        <v>36125</v>
      </c>
      <c r="BU8" s="30">
        <f ca="1">DATE(YEAR(BU$1),MONTH(BU$1)+InfoM!$H5,InfoM!$I5)</f>
        <v>36155</v>
      </c>
      <c r="BV8" s="30">
        <f ca="1">DATE(YEAR(BV$1),MONTH(BV$1)+InfoM!$H5,InfoM!$I5)</f>
        <v>36186</v>
      </c>
      <c r="BW8" s="30">
        <f ca="1">DATE(YEAR(BW$1),MONTH(BW$1)+InfoM!$H5,InfoM!$I5)</f>
        <v>36217</v>
      </c>
      <c r="BX8" s="30">
        <f ca="1">DATE(YEAR(BX$1),MONTH(BX$1)+InfoM!$H5,InfoM!$I5)</f>
        <v>36245</v>
      </c>
      <c r="BY8" s="30">
        <f ca="1">DATE(YEAR(BY$1),MONTH(BY$1)+InfoM!$H5,InfoM!$I5)</f>
        <v>36276</v>
      </c>
      <c r="BZ8" s="30">
        <f ca="1">DATE(YEAR(BZ$1),MONTH(BZ$1)+InfoM!$H5,InfoM!$I5)</f>
        <v>36306</v>
      </c>
      <c r="CA8" s="30">
        <f ca="1">DATE(YEAR(CA$1),MONTH(CA$1)+InfoM!$H5,InfoM!$I5)</f>
        <v>36337</v>
      </c>
      <c r="CB8" s="30">
        <f ca="1">DATE(YEAR(CB$1),MONTH(CB$1)+InfoM!$H5,InfoM!$I5)</f>
        <v>36367</v>
      </c>
      <c r="CC8" s="30">
        <f ca="1">DATE(YEAR(CC$1),MONTH(CC$1)+InfoM!$H5,InfoM!$I5)</f>
        <v>36398</v>
      </c>
      <c r="CD8" s="30">
        <f ca="1">DATE(YEAR(CD$1),MONTH(CD$1)+InfoM!$H5,InfoM!$I5)</f>
        <v>36429</v>
      </c>
      <c r="CE8" s="30">
        <f ca="1">DATE(YEAR(CE$1),MONTH(CE$1)+InfoM!$H5,InfoM!$I5)</f>
        <v>36459</v>
      </c>
      <c r="CF8" s="30">
        <f ca="1">DATE(YEAR(CF$1),MONTH(CF$1)+InfoM!$H5,InfoM!$I5)</f>
        <v>36490</v>
      </c>
      <c r="CG8" s="30">
        <f ca="1">DATE(YEAR(CG$1),MONTH(CG$1)+InfoM!$H5,InfoM!$I5)</f>
        <v>36520</v>
      </c>
      <c r="CH8" s="30">
        <f ca="1">DATE(YEAR(CH$1),MONTH(CH$1)+InfoM!$H5,InfoM!$I5)</f>
        <v>36551</v>
      </c>
      <c r="CI8" s="30">
        <f ca="1">DATE(YEAR(CI$1),MONTH(CI$1)+InfoM!$H5,InfoM!$I5)</f>
        <v>36582</v>
      </c>
      <c r="CJ8" s="30">
        <f ca="1">DATE(YEAR(CJ$1),MONTH(CJ$1)+InfoM!$H5,InfoM!$I5)</f>
        <v>36611</v>
      </c>
      <c r="CK8" s="30">
        <f ca="1">DATE(YEAR(CK$1),MONTH(CK$1)+InfoM!$H5,InfoM!$I5)</f>
        <v>36642</v>
      </c>
      <c r="CL8" s="30">
        <f ca="1">DATE(YEAR(CL$1),MONTH(CL$1)+InfoM!$H5,InfoM!$I5)</f>
        <v>36672</v>
      </c>
      <c r="CM8" s="30">
        <f ca="1">DATE(YEAR(CM$1),MONTH(CM$1)+InfoM!$H5,InfoM!$I5)</f>
        <v>36703</v>
      </c>
      <c r="CN8" s="30">
        <f ca="1">DATE(YEAR(CN$1),MONTH(CN$1)+InfoM!$H5,InfoM!$I5)</f>
        <v>36733</v>
      </c>
      <c r="CO8" s="30">
        <f ca="1">DATE(YEAR(CO$1),MONTH(CO$1)+InfoM!$H5,InfoM!$I5)</f>
        <v>36764</v>
      </c>
      <c r="CP8" s="30">
        <f ca="1">DATE(YEAR(CP$1),MONTH(CP$1)+InfoM!$H5,InfoM!$I5)</f>
        <v>36795</v>
      </c>
      <c r="CQ8" s="30">
        <f ca="1">DATE(YEAR(CQ$1),MONTH(CQ$1)+InfoM!$H5,InfoM!$I5)</f>
        <v>36825</v>
      </c>
      <c r="CR8" s="30">
        <f ca="1">DATE(YEAR(CR$1),MONTH(CR$1)+InfoM!$H5,InfoM!$I5)</f>
        <v>36856</v>
      </c>
      <c r="CS8" s="30">
        <f ca="1">DATE(YEAR(CS$1),MONTH(CS$1)+InfoM!$H5,InfoM!$I5)</f>
        <v>36886</v>
      </c>
      <c r="CT8" s="30">
        <f ca="1">DATE(YEAR(CT$1),MONTH(CT$1)+InfoM!$H5,InfoM!$I5)</f>
        <v>36917</v>
      </c>
      <c r="CU8" s="30">
        <f ca="1">DATE(YEAR(CU$1),MONTH(CU$1)+InfoM!$H5,InfoM!$I5)</f>
        <v>36948</v>
      </c>
      <c r="CV8" s="30">
        <f ca="1">DATE(YEAR(CV$1),MONTH(CV$1)+InfoM!$H5,InfoM!$I5)</f>
        <v>36976</v>
      </c>
      <c r="CW8" s="30">
        <f ca="1">DATE(YEAR(CW$1),MONTH(CW$1)+InfoM!$H5,InfoM!$I5)</f>
        <v>37007</v>
      </c>
      <c r="CX8" s="30">
        <f ca="1">DATE(YEAR(CX$1),MONTH(CX$1)+InfoM!$H5,InfoM!$I5)</f>
        <v>37037</v>
      </c>
      <c r="CY8" s="30">
        <f ca="1">DATE(YEAR(CY$1),MONTH(CY$1)+InfoM!$H5,InfoM!$I5)</f>
        <v>37068</v>
      </c>
      <c r="CZ8" s="30">
        <f ca="1">DATE(YEAR(CZ$1),MONTH(CZ$1)+InfoM!$H5,InfoM!$I5)</f>
        <v>37098</v>
      </c>
      <c r="DA8" s="30">
        <f ca="1">DATE(YEAR(DA$1),MONTH(DA$1)+InfoM!$H5,InfoM!$I5)</f>
        <v>37129</v>
      </c>
      <c r="DB8" s="30">
        <f ca="1">DATE(YEAR(DB$1),MONTH(DB$1)+InfoM!$H5,InfoM!$I5)</f>
        <v>37160</v>
      </c>
      <c r="DC8" s="30">
        <f ca="1">DATE(YEAR(DC$1),MONTH(DC$1)+InfoM!$H5,InfoM!$I5)</f>
        <v>37190</v>
      </c>
      <c r="DD8" s="30">
        <f ca="1">DATE(YEAR(DD$1),MONTH(DD$1)+InfoM!$H5,InfoM!$I5)</f>
        <v>37221</v>
      </c>
      <c r="DE8" s="30">
        <f ca="1">DATE(YEAR(DE$1),MONTH(DE$1)+InfoM!$H5,InfoM!$I5)</f>
        <v>37251</v>
      </c>
      <c r="DF8" s="30">
        <f ca="1">DATE(YEAR(DF$1),MONTH(DF$1)+InfoM!$H5,InfoM!$I5)</f>
        <v>37282</v>
      </c>
      <c r="DG8" s="30">
        <f ca="1">DATE(YEAR(DG$1),MONTH(DG$1)+InfoM!$H5,InfoM!$I5)</f>
        <v>37313</v>
      </c>
      <c r="DH8" s="30">
        <f ca="1">DATE(YEAR(DH$1),MONTH(DH$1)+InfoM!$H5,InfoM!$I5)</f>
        <v>37341</v>
      </c>
      <c r="DI8" s="30">
        <f ca="1">DATE(YEAR(DI$1),MONTH(DI$1)+InfoM!$H5,InfoM!$I5)</f>
        <v>37372</v>
      </c>
      <c r="DJ8" s="30">
        <f ca="1">DATE(YEAR(DJ$1),MONTH(DJ$1)+InfoM!$H5,InfoM!$I5)</f>
        <v>37402</v>
      </c>
      <c r="DK8" s="30">
        <f ca="1">DATE(YEAR(DK$1),MONTH(DK$1)+InfoM!$H5,InfoM!$I5)</f>
        <v>37433</v>
      </c>
      <c r="DL8" s="30">
        <f ca="1">DATE(YEAR(DL$1),MONTH(DL$1)+InfoM!$H5,InfoM!$I5)</f>
        <v>37463</v>
      </c>
      <c r="DM8" s="30">
        <f ca="1">DATE(YEAR(DM$1),MONTH(DM$1)+InfoM!$H5,InfoM!$I5)</f>
        <v>37494</v>
      </c>
      <c r="DN8" s="30">
        <f ca="1">DATE(YEAR(DN$1),MONTH(DN$1)+InfoM!$H5,InfoM!$I5)</f>
        <v>37525</v>
      </c>
      <c r="DO8" s="30">
        <f ca="1">DATE(YEAR(DO$1),MONTH(DO$1)+InfoM!$H5,InfoM!$I5)</f>
        <v>37555</v>
      </c>
      <c r="DP8" s="30">
        <f ca="1">DATE(YEAR(DP$1),MONTH(DP$1)+InfoM!$H5,InfoM!$I5)</f>
        <v>37586</v>
      </c>
      <c r="DQ8" s="30">
        <f ca="1">DATE(YEAR(DQ$1),MONTH(DQ$1)+InfoM!$H5,InfoM!$I5)</f>
        <v>37616</v>
      </c>
      <c r="DR8" s="30">
        <f ca="1">DATE(YEAR(DR$1),MONTH(DR$1)+InfoM!$H5,InfoM!$I5)</f>
        <v>37647</v>
      </c>
      <c r="DS8" s="30">
        <f ca="1">DATE(YEAR(DS$1),MONTH(DS$1)+InfoM!$H5,InfoM!$I5)</f>
        <v>37678</v>
      </c>
      <c r="DT8" s="30">
        <f ca="1">DATE(YEAR(DT$1),MONTH(DT$1)+InfoM!$H5,InfoM!$I5)</f>
        <v>37706</v>
      </c>
      <c r="DU8" s="30">
        <f ca="1">DATE(YEAR(DU$1),MONTH(DU$1)+InfoM!$H5,InfoM!$I5)</f>
        <v>37737</v>
      </c>
      <c r="DV8" s="30">
        <f ca="1">DATE(YEAR(DV$1),MONTH(DV$1)+InfoM!$H5,InfoM!$I5)</f>
        <v>37767</v>
      </c>
      <c r="DW8" s="30">
        <f ca="1">DATE(YEAR(DW$1),MONTH(DW$1)+InfoM!$H5,InfoM!$I5)</f>
        <v>37798</v>
      </c>
      <c r="DX8" s="30">
        <f ca="1">DATE(YEAR(DX$1),MONTH(DX$1)+InfoM!$H5,InfoM!$I5)</f>
        <v>37828</v>
      </c>
      <c r="DY8" s="30">
        <f ca="1">DATE(YEAR(DY$1),MONTH(DY$1)+InfoM!$H5,InfoM!$I5)</f>
        <v>37859</v>
      </c>
      <c r="DZ8" s="30">
        <f ca="1">DATE(YEAR(DZ$1),MONTH(DZ$1)+InfoM!$H5,InfoM!$I5)</f>
        <v>37890</v>
      </c>
      <c r="EA8" s="30">
        <f ca="1">DATE(YEAR(EA$1),MONTH(EA$1)+InfoM!$H5,InfoM!$I5)</f>
        <v>37920</v>
      </c>
      <c r="EB8" s="30">
        <f ca="1">DATE(YEAR(EB$1),MONTH(EB$1)+InfoM!$H5,InfoM!$I5)</f>
        <v>37951</v>
      </c>
      <c r="EC8" s="30">
        <f ca="1">DATE(YEAR(EC$1),MONTH(EC$1)+InfoM!$H5,InfoM!$I5)</f>
        <v>37981</v>
      </c>
      <c r="ED8" s="30">
        <f ca="1">DATE(YEAR(ED$1),MONTH(ED$1)+InfoM!$H5,InfoM!$I5)</f>
        <v>38012</v>
      </c>
      <c r="EE8" s="30">
        <f ca="1">DATE(YEAR(EE$1),MONTH(EE$1)+InfoM!$H5,InfoM!$I5)</f>
        <v>38043</v>
      </c>
      <c r="EF8" s="30">
        <f ca="1">DATE(YEAR(EF$1),MONTH(EF$1)+InfoM!$H5,InfoM!$I5)</f>
        <v>38072</v>
      </c>
      <c r="EG8" s="30">
        <f ca="1">DATE(YEAR(EG$1),MONTH(EG$1)+InfoM!$H5,InfoM!$I5)</f>
        <v>38103</v>
      </c>
      <c r="EH8" s="30">
        <f ca="1">DATE(YEAR(EH$1),MONTH(EH$1)+InfoM!$H5,InfoM!$I5)</f>
        <v>38133</v>
      </c>
      <c r="EI8" s="30">
        <f ca="1">DATE(YEAR(EI$1),MONTH(EI$1)+InfoM!$H5,InfoM!$I5)</f>
        <v>38164</v>
      </c>
      <c r="EJ8" s="30">
        <f ca="1">DATE(YEAR(EJ$1),MONTH(EJ$1)+InfoM!$H5,InfoM!$I5)</f>
        <v>38194</v>
      </c>
      <c r="EK8" s="30">
        <f ca="1">DATE(YEAR(EK$1),MONTH(EK$1)+InfoM!$H5,InfoM!$I5)</f>
        <v>38225</v>
      </c>
      <c r="EL8" s="30">
        <f ca="1">DATE(YEAR(EL$1),MONTH(EL$1)+InfoM!$H5,InfoM!$I5)</f>
        <v>38256</v>
      </c>
      <c r="EM8" s="30">
        <f ca="1">DATE(YEAR(EM$1),MONTH(EM$1)+InfoM!$H5,InfoM!$I5)</f>
        <v>38286</v>
      </c>
      <c r="EN8" s="30">
        <f ca="1">DATE(YEAR(EN$1),MONTH(EN$1)+InfoM!$H5,InfoM!$I5)</f>
        <v>38317</v>
      </c>
      <c r="EO8" s="30">
        <f ca="1">DATE(YEAR(EO$1),MONTH(EO$1)+InfoM!$H5,InfoM!$I5)</f>
        <v>38347</v>
      </c>
      <c r="EP8" s="30">
        <f ca="1">DATE(YEAR(EP$1),MONTH(EP$1)+InfoM!$H5,InfoM!$I5)</f>
        <v>38378</v>
      </c>
      <c r="EQ8" s="30">
        <f ca="1">DATE(YEAR(EQ$1),MONTH(EQ$1)+InfoM!$H5,InfoM!$I5)</f>
        <v>38409</v>
      </c>
      <c r="ER8" s="30">
        <f ca="1">DATE(YEAR(ER$1),MONTH(ER$1)+InfoM!$H5,InfoM!$I5)</f>
        <v>38437</v>
      </c>
      <c r="ES8" s="30">
        <f ca="1">DATE(YEAR(ES$1),MONTH(ES$1)+InfoM!$H5,InfoM!$I5)</f>
        <v>38468</v>
      </c>
      <c r="ET8" s="30">
        <f ca="1">DATE(YEAR(ET$1),MONTH(ET$1)+InfoM!$H5,InfoM!$I5)</f>
        <v>38498</v>
      </c>
      <c r="EU8" s="30">
        <f ca="1">DATE(YEAR(EU$1),MONTH(EU$1)+InfoM!$H5,InfoM!$I5)</f>
        <v>38529</v>
      </c>
      <c r="EV8" s="30">
        <f ca="1">DATE(YEAR(EV$1),MONTH(EV$1)+InfoM!$H5,InfoM!$I5)</f>
        <v>38559</v>
      </c>
      <c r="EW8" s="30">
        <f ca="1">DATE(YEAR(EW$1),MONTH(EW$1)+InfoM!$H5,InfoM!$I5)</f>
        <v>38590</v>
      </c>
      <c r="EX8" s="30">
        <f ca="1">DATE(YEAR(EX$1),MONTH(EX$1)+InfoM!$H5,InfoM!$I5)</f>
        <v>38621</v>
      </c>
      <c r="EY8" s="30">
        <f ca="1">DATE(YEAR(EY$1),MONTH(EY$1)+InfoM!$H5,InfoM!$I5)</f>
        <v>38651</v>
      </c>
      <c r="EZ8" s="30">
        <f ca="1">DATE(YEAR(EZ$1),MONTH(EZ$1)+InfoM!$H5,InfoM!$I5)</f>
        <v>38682</v>
      </c>
      <c r="FA8" s="30">
        <f ca="1">DATE(YEAR(FA$1),MONTH(FA$1)+InfoM!$H5,InfoM!$I5)</f>
        <v>38712</v>
      </c>
      <c r="FB8" s="30">
        <f ca="1">DATE(YEAR(FB$1),MONTH(FB$1)+InfoM!$H5,InfoM!$I5)</f>
        <v>38743</v>
      </c>
      <c r="FC8" s="30">
        <f ca="1">DATE(YEAR(FC$1),MONTH(FC$1)+InfoM!$H5,InfoM!$I5)</f>
        <v>38774</v>
      </c>
      <c r="FD8" s="30">
        <f ca="1">DATE(YEAR(FD$1),MONTH(FD$1)+InfoM!$H5,InfoM!$I5)</f>
        <v>38802</v>
      </c>
      <c r="FE8" s="30">
        <f ca="1">DATE(YEAR(FE$1),MONTH(FE$1)+InfoM!$H5,InfoM!$I5)</f>
        <v>38833</v>
      </c>
      <c r="FF8" s="30">
        <f ca="1">DATE(YEAR(FF$1),MONTH(FF$1)+InfoM!$H5,InfoM!$I5)</f>
        <v>38863</v>
      </c>
      <c r="FG8" s="30">
        <f ca="1">DATE(YEAR(FG$1),MONTH(FG$1)+InfoM!$H5,InfoM!$I5)</f>
        <v>38894</v>
      </c>
      <c r="FH8" s="30">
        <f ca="1">DATE(YEAR(FH$1),MONTH(FH$1)+InfoM!$H5,InfoM!$I5)</f>
        <v>38924</v>
      </c>
      <c r="FI8" s="30">
        <f ca="1">DATE(YEAR(FI$1),MONTH(FI$1)+InfoM!$H5,InfoM!$I5)</f>
        <v>38955</v>
      </c>
      <c r="FJ8" s="30">
        <f ca="1">DATE(YEAR(FJ$1),MONTH(FJ$1)+InfoM!$H5,InfoM!$I5)</f>
        <v>38986</v>
      </c>
      <c r="FK8" s="30">
        <f ca="1">DATE(YEAR(FK$1),MONTH(FK$1)+InfoM!$H5,InfoM!$I5)</f>
        <v>39016</v>
      </c>
      <c r="FL8" s="30">
        <f ca="1">DATE(YEAR(FL$1),MONTH(FL$1)+InfoM!$H5,InfoM!$I5)</f>
        <v>39047</v>
      </c>
      <c r="FM8" s="30">
        <f ca="1">DATE(YEAR(FM$1),MONTH(FM$1)+InfoM!$H5,InfoM!$I5)</f>
        <v>39077</v>
      </c>
      <c r="FN8" s="30">
        <f ca="1">DATE(YEAR(FN$1),MONTH(FN$1)+InfoM!$H5,InfoM!$I5)</f>
        <v>39108</v>
      </c>
      <c r="FO8" s="30">
        <f ca="1">DATE(YEAR(FO$1),MONTH(FO$1)+InfoM!$H5,InfoM!$I5)</f>
        <v>39139</v>
      </c>
      <c r="FP8" s="30">
        <f ca="1">DATE(YEAR(FP$1),MONTH(FP$1)+InfoM!$H5,InfoM!$I5)</f>
        <v>39167</v>
      </c>
      <c r="FQ8" s="30">
        <f ca="1">DATE(YEAR(FQ$1),MONTH(FQ$1)+InfoM!$H5,InfoM!$I5)</f>
        <v>39198</v>
      </c>
      <c r="FR8" s="30">
        <f ca="1">DATE(YEAR(FR$1),MONTH(FR$1)+InfoM!$H5,InfoM!$I5)</f>
        <v>39228</v>
      </c>
      <c r="FS8" s="30">
        <f ca="1">DATE(YEAR(FS$1),MONTH(FS$1)+InfoM!$H5,InfoM!$I5)</f>
        <v>39259</v>
      </c>
      <c r="FT8" s="30">
        <f ca="1">DATE(YEAR(FT$1),MONTH(FT$1)+InfoM!$H5,InfoM!$I5)</f>
        <v>39289</v>
      </c>
      <c r="FU8" s="30">
        <f ca="1">DATE(YEAR(FU$1),MONTH(FU$1)+InfoM!$H5,InfoM!$I5)</f>
        <v>39320</v>
      </c>
      <c r="FV8" s="30">
        <f ca="1">DATE(YEAR(FV$1),MONTH(FV$1)+InfoM!$H5,InfoM!$I5)</f>
        <v>39351</v>
      </c>
      <c r="FW8" s="30">
        <f ca="1">DATE(YEAR(FW$1),MONTH(FW$1)+InfoM!$H5,InfoM!$I5)</f>
        <v>39381</v>
      </c>
      <c r="FX8" s="30">
        <f ca="1">DATE(YEAR(FX$1),MONTH(FX$1)+InfoM!$H5,InfoM!$I5)</f>
        <v>39412</v>
      </c>
      <c r="FY8" s="30">
        <f ca="1">DATE(YEAR(FY$1),MONTH(FY$1)+InfoM!$H5,InfoM!$I5)</f>
        <v>39442</v>
      </c>
      <c r="FZ8" s="30">
        <f ca="1">DATE(YEAR(FZ$1),MONTH(FZ$1)+InfoM!$H5,InfoM!$I5)</f>
        <v>39473</v>
      </c>
      <c r="GA8" s="30">
        <f ca="1">DATE(YEAR(GA$1),MONTH(GA$1)+InfoM!$H5,InfoM!$I5)</f>
        <v>39504</v>
      </c>
      <c r="GB8" s="30">
        <f ca="1">DATE(YEAR(GB$1),MONTH(GB$1)+InfoM!$H5,InfoM!$I5)</f>
        <v>39533</v>
      </c>
      <c r="GC8" s="30">
        <f ca="1">DATE(YEAR(GC$1),MONTH(GC$1)+InfoM!$H5,InfoM!$I5)</f>
        <v>39564</v>
      </c>
      <c r="GD8" s="30">
        <f ca="1">DATE(YEAR(GD$1),MONTH(GD$1)+InfoM!$H5,InfoM!$I5)</f>
        <v>39594</v>
      </c>
      <c r="GE8" s="30">
        <f ca="1">DATE(YEAR(GE$1),MONTH(GE$1)+InfoM!$H5,InfoM!$I5)</f>
        <v>39625</v>
      </c>
      <c r="GF8" s="30">
        <f ca="1">DATE(YEAR(GF$1),MONTH(GF$1)+InfoM!$H5,InfoM!$I5)</f>
        <v>39655</v>
      </c>
      <c r="GG8" s="30">
        <f ca="1">DATE(YEAR(GG$1),MONTH(GG$1)+InfoM!$H5,InfoM!$I5)</f>
        <v>39686</v>
      </c>
      <c r="GH8" s="30">
        <f ca="1">DATE(YEAR(GH$1),MONTH(GH$1)+InfoM!$H5,InfoM!$I5)</f>
        <v>39717</v>
      </c>
      <c r="GI8" s="30">
        <f ca="1">DATE(YEAR(GI$1),MONTH(GI$1)+InfoM!$H5,InfoM!$I5)</f>
        <v>39747</v>
      </c>
      <c r="GJ8" s="30">
        <f ca="1">DATE(YEAR(GJ$1),MONTH(GJ$1)+InfoM!$H5,InfoM!$I5)</f>
        <v>39778</v>
      </c>
      <c r="GK8" s="30">
        <f ca="1">DATE(YEAR(GK$1),MONTH(GK$1)+InfoM!$H5,InfoM!$I5)</f>
        <v>39808</v>
      </c>
      <c r="GL8" s="30">
        <f ca="1">DATE(YEAR(GL$1),MONTH(GL$1)+InfoM!$H5,InfoM!$I5)</f>
        <v>39839</v>
      </c>
      <c r="GM8" s="30">
        <f ca="1">DATE(YEAR(GM$1),MONTH(GM$1)+InfoM!$H5,InfoM!$I5)</f>
        <v>39870</v>
      </c>
      <c r="GN8" s="30">
        <f ca="1">DATE(YEAR(GN$1),MONTH(GN$1)+InfoM!$H5,InfoM!$I5)</f>
        <v>39898</v>
      </c>
      <c r="GO8" s="30">
        <f ca="1">DATE(YEAR(GO$1),MONTH(GO$1)+InfoM!$H5,InfoM!$I5)</f>
        <v>39929</v>
      </c>
      <c r="GP8" s="30">
        <f ca="1">DATE(YEAR(GP$1),MONTH(GP$1)+InfoM!$H5,InfoM!$I5)</f>
        <v>39959</v>
      </c>
      <c r="GQ8" s="30">
        <f ca="1">DATE(YEAR(GQ$1),MONTH(GQ$1)+InfoM!$H5,InfoM!$I5)</f>
        <v>39990</v>
      </c>
      <c r="GR8" s="30">
        <f ca="1">DATE(YEAR(GR$1),MONTH(GR$1)+InfoM!$H5,InfoM!$I5)</f>
        <v>40020</v>
      </c>
      <c r="GS8" s="30">
        <f ca="1">DATE(YEAR(GS$1),MONTH(GS$1)+InfoM!$H5,InfoM!$I5)</f>
        <v>40051</v>
      </c>
      <c r="GT8" s="30">
        <f ca="1">DATE(YEAR(GT$1),MONTH(GT$1)+InfoM!$H5,InfoM!$I5)</f>
        <v>40082</v>
      </c>
      <c r="GU8" s="30">
        <f ca="1">DATE(YEAR(GU$1),MONTH(GU$1)+InfoM!$H5,InfoM!$I5)</f>
        <v>40112</v>
      </c>
      <c r="GV8" s="30">
        <f ca="1">DATE(YEAR(GV$1),MONTH(GV$1)+InfoM!$H5,InfoM!$I5)</f>
        <v>40143</v>
      </c>
      <c r="GW8" s="30">
        <f ca="1">DATE(YEAR(GW$1),MONTH(GW$1)+InfoM!$H5,InfoM!$I5)</f>
        <v>40173</v>
      </c>
      <c r="GX8" s="30">
        <f ca="1">DATE(YEAR(GX$1),MONTH(GX$1)+InfoM!$H5,InfoM!$I5)</f>
        <v>40204</v>
      </c>
      <c r="GY8" s="30">
        <f ca="1">DATE(YEAR(GY$1),MONTH(GY$1)+InfoM!$H5,InfoM!$I5)</f>
        <v>40235</v>
      </c>
      <c r="GZ8" s="30">
        <f ca="1">DATE(YEAR(GZ$1),MONTH(GZ$1)+InfoM!$H5,InfoM!$I5)</f>
        <v>40263</v>
      </c>
      <c r="HA8" s="30">
        <f ca="1">DATE(YEAR(HA$1),MONTH(HA$1)+InfoM!$H5,InfoM!$I5)</f>
        <v>40294</v>
      </c>
      <c r="HB8" s="30">
        <f ca="1">DATE(YEAR(HB$1),MONTH(HB$1)+InfoM!$H5,InfoM!$I5)</f>
        <v>40324</v>
      </c>
      <c r="HC8" s="30">
        <f ca="1">DATE(YEAR(HC$1),MONTH(HC$1)+InfoM!$H5,InfoM!$I5)</f>
        <v>40355</v>
      </c>
      <c r="HD8" s="30">
        <f ca="1">DATE(YEAR(HD$1),MONTH(HD$1)+InfoM!$H5,InfoM!$I5)</f>
        <v>40385</v>
      </c>
      <c r="HE8" s="30">
        <f ca="1">DATE(YEAR(HE$1),MONTH(HE$1)+InfoM!$H5,InfoM!$I5)</f>
        <v>40416</v>
      </c>
      <c r="HF8" s="30">
        <f ca="1">DATE(YEAR(HF$1),MONTH(HF$1)+InfoM!$H5,InfoM!$I5)</f>
        <v>40447</v>
      </c>
      <c r="HG8" s="30">
        <f ca="1">DATE(YEAR(HG$1),MONTH(HG$1)+InfoM!$H5,InfoM!$I5)</f>
        <v>40477</v>
      </c>
      <c r="HH8" s="30">
        <f ca="1">DATE(YEAR(HH$1),MONTH(HH$1)+InfoM!$H5,InfoM!$I5)</f>
        <v>40508</v>
      </c>
      <c r="HI8" s="30">
        <f ca="1">DATE(YEAR(HI$1),MONTH(HI$1)+InfoM!$H5,InfoM!$I5)</f>
        <v>40538</v>
      </c>
      <c r="HJ8" s="30">
        <f ca="1">DATE(YEAR(HJ$1),MONTH(HJ$1)+InfoM!$H5,InfoM!$I5)</f>
        <v>40569</v>
      </c>
      <c r="HK8" s="30">
        <f ca="1">DATE(YEAR(HK$1),MONTH(HK$1)+InfoM!$H5,InfoM!$I5)</f>
        <v>40600</v>
      </c>
      <c r="HL8" s="30">
        <f ca="1">DATE(YEAR(HL$1),MONTH(HL$1)+InfoM!$H5,InfoM!$I5)</f>
        <v>40628</v>
      </c>
      <c r="HM8" s="30">
        <f ca="1">DATE(YEAR(HM$1),MONTH(HM$1)+InfoM!$H5,InfoM!$I5)</f>
        <v>40659</v>
      </c>
      <c r="HN8" s="30">
        <f ca="1">DATE(YEAR(HN$1),MONTH(HN$1)+InfoM!$H5,InfoM!$I5)</f>
        <v>40689</v>
      </c>
      <c r="HO8" s="30">
        <f ca="1">DATE(YEAR(HO$1),MONTH(HO$1)+InfoM!$H5,InfoM!$I5)</f>
        <v>40720</v>
      </c>
      <c r="HP8" s="30">
        <f ca="1">DATE(YEAR(HP$1),MONTH(HP$1)+InfoM!$H5,InfoM!$I5)</f>
        <v>40750</v>
      </c>
      <c r="HQ8" s="30">
        <f ca="1">DATE(YEAR(HQ$1),MONTH(HQ$1)+InfoM!$H5,InfoM!$I5)</f>
        <v>40781</v>
      </c>
      <c r="HR8" s="30">
        <f ca="1">DATE(YEAR(HR$1),MONTH(HR$1)+InfoM!$H5,InfoM!$I5)</f>
        <v>40812</v>
      </c>
      <c r="HS8" s="30">
        <f ca="1">DATE(YEAR(HS$1),MONTH(HS$1)+InfoM!$H5,InfoM!$I5)</f>
        <v>40842</v>
      </c>
      <c r="HT8" s="30">
        <f ca="1">DATE(YEAR(HT$1),MONTH(HT$1)+InfoM!$H5,InfoM!$I5)</f>
        <v>40873</v>
      </c>
      <c r="HU8" s="30">
        <f ca="1">DATE(YEAR(HU$1),MONTH(HU$1)+InfoM!$H5,InfoM!$I5)</f>
        <v>40903</v>
      </c>
      <c r="HV8" s="30">
        <f ca="1">DATE(YEAR(HV$1),MONTH(HV$1)+InfoM!$H5,InfoM!$I5)</f>
        <v>40934</v>
      </c>
      <c r="HW8" s="30">
        <f ca="1">DATE(YEAR(HW$1),MONTH(HW$1)+InfoM!$H5,InfoM!$I5)</f>
        <v>40965</v>
      </c>
      <c r="HX8" s="30">
        <f ca="1">DATE(YEAR(HX$1),MONTH(HX$1)+InfoM!$H5,InfoM!$I5)</f>
        <v>40994</v>
      </c>
      <c r="HY8" s="30">
        <f ca="1">DATE(YEAR(HY$1),MONTH(HY$1)+InfoM!$H5,InfoM!$I5)</f>
        <v>41025</v>
      </c>
      <c r="HZ8" s="30">
        <f ca="1">DATE(YEAR(HZ$1),MONTH(HZ$1)+InfoM!$H5,InfoM!$I5)</f>
        <v>41055</v>
      </c>
      <c r="IA8" s="30">
        <f ca="1">DATE(YEAR(IA$1),MONTH(IA$1)+InfoM!$H5,InfoM!$I5)</f>
        <v>41086</v>
      </c>
      <c r="IB8" s="30">
        <f ca="1">DATE(YEAR(IB$1),MONTH(IB$1)+InfoM!$H5,InfoM!$I5)</f>
        <v>41116</v>
      </c>
      <c r="IC8" s="30">
        <f ca="1">DATE(YEAR(IC$1),MONTH(IC$1)+InfoM!$H5,InfoM!$I5)</f>
        <v>41147</v>
      </c>
      <c r="ID8" s="30">
        <f ca="1">DATE(YEAR(ID$1),MONTH(ID$1)+InfoM!$H5,InfoM!$I5)</f>
        <v>41178</v>
      </c>
      <c r="IE8" s="30">
        <f ca="1">DATE(YEAR(IE$1),MONTH(IE$1)+InfoM!$H5,InfoM!$I5)</f>
        <v>41208</v>
      </c>
      <c r="IF8" s="30">
        <f ca="1">DATE(YEAR(IF$1),MONTH(IF$1)+InfoM!$H5,InfoM!$I5)</f>
        <v>41239</v>
      </c>
      <c r="IG8" s="30">
        <f ca="1">DATE(YEAR(IG$1),MONTH(IG$1)+InfoM!$H5,InfoM!$I5)</f>
        <v>41269</v>
      </c>
      <c r="IH8" s="30">
        <f ca="1">DATE(YEAR(IH$1),MONTH(IH$1)+InfoM!$H5,InfoM!$I5)</f>
        <v>41300</v>
      </c>
      <c r="II8" s="30">
        <f ca="1">DATE(YEAR(II$1),MONTH(II$1)+InfoM!$H5,InfoM!$I5)</f>
        <v>41331</v>
      </c>
      <c r="IJ8" s="30">
        <f ca="1">DATE(YEAR(IJ$1),MONTH(IJ$1)+InfoM!$H5,InfoM!$I5)</f>
        <v>41359</v>
      </c>
      <c r="IK8" s="30">
        <f ca="1">DATE(YEAR(IK$1),MONTH(IK$1)+InfoM!$H5,InfoM!$I5)</f>
        <v>41390</v>
      </c>
      <c r="IL8" s="30">
        <f ca="1">DATE(YEAR(IL$1),MONTH(IL$1)+InfoM!$H5,InfoM!$I5)</f>
        <v>41420</v>
      </c>
      <c r="IM8" s="30">
        <f ca="1">DATE(YEAR(IM$1),MONTH(IM$1)+InfoM!$H5,InfoM!$I5)</f>
        <v>41451</v>
      </c>
      <c r="IN8" s="30">
        <f ca="1">DATE(YEAR(IN$1),MONTH(IN$1)+InfoM!$H5,InfoM!$I5)</f>
        <v>41481</v>
      </c>
      <c r="IO8" s="30">
        <f ca="1">DATE(YEAR(IO$1),MONTH(IO$1)+InfoM!$H5,InfoM!$I5)</f>
        <v>41512</v>
      </c>
      <c r="IP8" s="30">
        <f ca="1">DATE(YEAR(IP$1),MONTH(IP$1)+InfoM!$H5,InfoM!$I5)</f>
        <v>41543</v>
      </c>
      <c r="IQ8" s="30">
        <f ca="1">DATE(YEAR(IQ$1),MONTH(IQ$1)+InfoM!$H5,InfoM!$I5)</f>
        <v>41573</v>
      </c>
      <c r="IR8" s="30">
        <f ca="1">DATE(YEAR(IR$1),MONTH(IR$1)+InfoM!$H5,InfoM!$I5)</f>
        <v>41604</v>
      </c>
      <c r="IS8" s="30">
        <f ca="1">DATE(YEAR(IS$1),MONTH(IS$1)+InfoM!$H5,InfoM!$I5)</f>
        <v>41634</v>
      </c>
      <c r="IT8" s="30">
        <f ca="1">DATE(YEAR(IT$1),MONTH(IT$1)+InfoM!$H5,InfoM!$I5)</f>
        <v>41665</v>
      </c>
      <c r="IU8" s="30">
        <f ca="1">DATE(YEAR(IU$1),MONTH(IU$1)+InfoM!$H5,InfoM!$I5)</f>
        <v>41696</v>
      </c>
      <c r="IV8" s="30">
        <f ca="1">DATE(YEAR(IV$1),MONTH(IV$1)+InfoM!$H5,InfoM!$I5)</f>
        <v>41724</v>
      </c>
      <c r="IW8" s="30">
        <f ca="1">DATE(YEAR(IW$1),MONTH(IW$1)+InfoM!$H5,InfoM!$I5)</f>
        <v>41755</v>
      </c>
      <c r="IX8" s="30">
        <f ca="1">DATE(YEAR(IX$1),MONTH(IX$1)+InfoM!$H5,InfoM!$I5)</f>
        <v>41785</v>
      </c>
      <c r="IY8" s="30">
        <f ca="1">DATE(YEAR(IY$1),MONTH(IY$1)+InfoM!$H5,InfoM!$I5)</f>
        <v>41816</v>
      </c>
      <c r="IZ8" s="30">
        <f ca="1">DATE(YEAR(IZ$1),MONTH(IZ$1)+InfoM!$H5,InfoM!$I5)</f>
        <v>41846</v>
      </c>
      <c r="JA8" s="30">
        <f ca="1">DATE(YEAR(JA$1),MONTH(JA$1)+InfoM!$H5,InfoM!$I5)</f>
        <v>41877</v>
      </c>
      <c r="JB8" s="30">
        <f ca="1">DATE(YEAR(JB$1),MONTH(JB$1)+InfoM!$H5,InfoM!$I5)</f>
        <v>41908</v>
      </c>
      <c r="JC8" s="30">
        <f ca="1">DATE(YEAR(JC$1),MONTH(JC$1)+InfoM!$H5,InfoM!$I5)</f>
        <v>41938</v>
      </c>
      <c r="JD8" s="30">
        <f ca="1">DATE(YEAR(JD$1),MONTH(JD$1)+InfoM!$H5,InfoM!$I5)</f>
        <v>41969</v>
      </c>
      <c r="JE8" s="30">
        <f ca="1">DATE(YEAR(JE$1),MONTH(JE$1)+InfoM!$H5,InfoM!$I5)</f>
        <v>41999</v>
      </c>
      <c r="JF8" s="30">
        <f ca="1">DATE(YEAR(JF$1),MONTH(JF$1)+InfoM!$H5,InfoM!$I5)</f>
        <v>42030</v>
      </c>
      <c r="JG8" s="30">
        <f ca="1">DATE(YEAR(JG$1),MONTH(JG$1)+InfoM!$H5,InfoM!$I5)</f>
        <v>42061</v>
      </c>
      <c r="JH8" s="30">
        <f ca="1">DATE(YEAR(JH$1),MONTH(JH$1)+InfoM!$H5,InfoM!$I5)</f>
        <v>42089</v>
      </c>
      <c r="JI8" s="30">
        <f ca="1">DATE(YEAR(JI$1),MONTH(JI$1)+InfoM!$H5,InfoM!$I5)</f>
        <v>42120</v>
      </c>
      <c r="JJ8" s="30">
        <f ca="1">DATE(YEAR(JJ$1),MONTH(JJ$1)+InfoM!$H5,InfoM!$I5)</f>
        <v>42150</v>
      </c>
      <c r="JK8" s="30">
        <f ca="1">DATE(YEAR(JK$1),MONTH(JK$1)+InfoM!$H5,InfoM!$I5)</f>
        <v>42181</v>
      </c>
      <c r="JL8" s="30">
        <f ca="1">DATE(YEAR(JL$1),MONTH(JL$1)+InfoM!$H5,InfoM!$I5)</f>
        <v>42211</v>
      </c>
      <c r="JM8" s="30">
        <f ca="1">DATE(YEAR(JM$1),MONTH(JM$1)+InfoM!$H5,InfoM!$I5)</f>
        <v>42242</v>
      </c>
      <c r="JN8" s="30">
        <f ca="1">DATE(YEAR(JN$1),MONTH(JN$1)+InfoM!$H5,InfoM!$I5)</f>
        <v>42273</v>
      </c>
      <c r="JO8" s="30">
        <f ca="1">DATE(YEAR(JO$1),MONTH(JO$1)+InfoM!$H5,InfoM!$I5)</f>
        <v>42303</v>
      </c>
      <c r="JP8" s="30">
        <f ca="1">DATE(YEAR(JP$1),MONTH(JP$1)+InfoM!$H5,InfoM!$I5)</f>
        <v>42334</v>
      </c>
      <c r="JQ8" s="30">
        <f ca="1">DATE(YEAR(JQ$1),MONTH(JQ$1)+InfoM!$H5,InfoM!$I5)</f>
        <v>42364</v>
      </c>
      <c r="JR8" s="30">
        <f ca="1">DATE(YEAR(JR$1),MONTH(JR$1)+InfoM!$H5,InfoM!$I5)</f>
        <v>42395</v>
      </c>
      <c r="JS8" s="30">
        <f ca="1">DATE(YEAR(JS$1),MONTH(JS$1)+InfoM!$H5,InfoM!$I5)</f>
        <v>42426</v>
      </c>
      <c r="JT8" s="30">
        <f ca="1">DATE(YEAR(JT$1),MONTH(JT$1)+InfoM!$H5,InfoM!$I5)</f>
        <v>42455</v>
      </c>
      <c r="JU8" s="30">
        <f ca="1">DATE(YEAR(JU$1),MONTH(JU$1)+InfoM!$H5,InfoM!$I5)</f>
        <v>42486</v>
      </c>
      <c r="JV8" s="30">
        <f ca="1">DATE(YEAR(JV$1),MONTH(JV$1)+InfoM!$H5,InfoM!$I5)</f>
        <v>42516</v>
      </c>
      <c r="JW8" s="30">
        <f ca="1">DATE(YEAR(JW$1),MONTH(JW$1)+InfoM!$H5,InfoM!$I5)</f>
        <v>42547</v>
      </c>
      <c r="JX8" s="30">
        <f ca="1">DATE(YEAR(JX$1),MONTH(JX$1)+InfoM!$H5,InfoM!$I5)</f>
        <v>42577</v>
      </c>
      <c r="JY8" s="30">
        <f ca="1">DATE(YEAR(JY$1),MONTH(JY$1)+InfoM!$H5,InfoM!$I5)</f>
        <v>42608</v>
      </c>
      <c r="JZ8" s="30">
        <f ca="1">DATE(YEAR(JZ$1),MONTH(JZ$1)+InfoM!$H5,InfoM!$I5)</f>
        <v>42639</v>
      </c>
      <c r="KA8" s="30">
        <f ca="1">DATE(YEAR(KA$1),MONTH(KA$1)+InfoM!$H5,InfoM!$I5)</f>
        <v>42669</v>
      </c>
      <c r="KB8" s="30">
        <f ca="1">DATE(YEAR(KB$1),MONTH(KB$1)+InfoM!$H5,InfoM!$I5)</f>
        <v>42700</v>
      </c>
      <c r="KC8" s="30">
        <f ca="1">DATE(YEAR(KC$1),MONTH(KC$1)+InfoM!$H5,InfoM!$I5)</f>
        <v>42730</v>
      </c>
      <c r="KD8" s="30">
        <f ca="1">DATE(YEAR(KD$1),MONTH(KD$1)+InfoM!$H5,InfoM!$I5)</f>
        <v>42761</v>
      </c>
      <c r="KE8" s="30">
        <f ca="1">DATE(YEAR(KE$1),MONTH(KE$1)+InfoM!$H5,InfoM!$I5)</f>
        <v>42792</v>
      </c>
      <c r="KF8" s="30">
        <f ca="1">DATE(YEAR(KF$1),MONTH(KF$1)+InfoM!$H5,InfoM!$I5)</f>
        <v>42820</v>
      </c>
      <c r="KG8" s="30">
        <f ca="1">DATE(YEAR(KG$1),MONTH(KG$1)+InfoM!$H5,InfoM!$I5)</f>
        <v>42851</v>
      </c>
      <c r="KH8" s="30">
        <f ca="1">DATE(YEAR(KH$1),MONTH(KH$1)+InfoM!$H5,InfoM!$I5)</f>
        <v>42881</v>
      </c>
      <c r="KI8" s="30">
        <f ca="1">DATE(YEAR(KI$1),MONTH(KI$1)+InfoM!$H5,InfoM!$I5)</f>
        <v>42912</v>
      </c>
      <c r="KJ8" s="30">
        <f ca="1">DATE(YEAR(KJ$1),MONTH(KJ$1)+InfoM!$H5,InfoM!$I5)</f>
        <v>42942</v>
      </c>
      <c r="KK8" s="30">
        <f ca="1">DATE(YEAR(KK$1),MONTH(KK$1)+InfoM!$H5,InfoM!$I5)</f>
        <v>42973</v>
      </c>
      <c r="KL8" s="30">
        <f ca="1">DATE(YEAR(KL$1),MONTH(KL$1)+InfoM!$H5,InfoM!$I5)</f>
        <v>43004</v>
      </c>
      <c r="KM8" s="30">
        <f ca="1">DATE(YEAR(KM$1),MONTH(KM$1)+InfoM!$H5,InfoM!$I5)</f>
        <v>43034</v>
      </c>
      <c r="KN8" s="30">
        <f ca="1">DATE(YEAR(KN$1),MONTH(KN$1)+InfoM!$H5,InfoM!$I5)</f>
        <v>43065</v>
      </c>
      <c r="KO8" s="30">
        <f ca="1">DATE(YEAR(KO$1),MONTH(KO$1)+InfoM!$H5,InfoM!$I5)</f>
        <v>43095</v>
      </c>
      <c r="KP8" s="30">
        <f ca="1">DATE(YEAR(KP$1),MONTH(KP$1)+InfoM!$H5,InfoM!$I5)</f>
        <v>43126</v>
      </c>
      <c r="KQ8" s="30">
        <f ca="1">DATE(YEAR(KQ$1),MONTH(KQ$1)+InfoM!$H5,InfoM!$I5)</f>
        <v>43157</v>
      </c>
      <c r="KR8" s="30">
        <f ca="1">DATE(YEAR(KR$1),MONTH(KR$1)+InfoM!$H5,InfoM!$I5)</f>
        <v>43185</v>
      </c>
      <c r="KS8" s="30">
        <f ca="1">DATE(YEAR(KS$1),MONTH(KS$1)+InfoM!$H5,InfoM!$I5)</f>
        <v>43216</v>
      </c>
      <c r="KT8" s="30">
        <f ca="1">DATE(YEAR(KT$1),MONTH(KT$1)+InfoM!$H5,InfoM!$I5)</f>
        <v>43246</v>
      </c>
      <c r="KU8" s="30">
        <f ca="1">DATE(YEAR(KU$1),MONTH(KU$1)+InfoM!$H5,InfoM!$I5)</f>
        <v>43277</v>
      </c>
      <c r="KV8" s="30">
        <f ca="1">DATE(YEAR(KV$1),MONTH(KV$1)+InfoM!$H5,InfoM!$I5)</f>
        <v>43307</v>
      </c>
      <c r="KW8" s="30">
        <f ca="1">DATE(YEAR(KW$1),MONTH(KW$1)+InfoM!$H5,InfoM!$I5)</f>
        <v>43338</v>
      </c>
      <c r="KX8" s="30">
        <f ca="1">DATE(YEAR(KX$1),MONTH(KX$1)+InfoM!$H5,InfoM!$I5)</f>
        <v>43369</v>
      </c>
      <c r="KY8" s="30">
        <f ca="1">DATE(YEAR(KY$1),MONTH(KY$1)+InfoM!$H5,InfoM!$I5)</f>
        <v>43399</v>
      </c>
      <c r="KZ8" s="30">
        <f ca="1">DATE(YEAR(KZ$1),MONTH(KZ$1)+InfoM!$H5,InfoM!$I5)</f>
        <v>43430</v>
      </c>
      <c r="LA8" s="30">
        <f ca="1">DATE(YEAR(LA$1),MONTH(LA$1)+InfoM!$H5,InfoM!$I5)</f>
        <v>43460</v>
      </c>
      <c r="LB8" s="30">
        <f ca="1">DATE(YEAR(LB$1),MONTH(LB$1)+InfoM!$H5,InfoM!$I5)</f>
        <v>43491</v>
      </c>
      <c r="LC8" s="30">
        <f ca="1">DATE(YEAR(LC$1),MONTH(LC$1)+InfoM!$H5,InfoM!$I5)</f>
        <v>43522</v>
      </c>
      <c r="LD8" s="30">
        <f ca="1">DATE(YEAR(LD$1),MONTH(LD$1)+InfoM!$H5,InfoM!$I5)</f>
        <v>43550</v>
      </c>
      <c r="LE8" s="30">
        <f ca="1">DATE(YEAR(LE$1),MONTH(LE$1)+InfoM!$H5,InfoM!$I5)</f>
        <v>43581</v>
      </c>
      <c r="LF8" s="30">
        <f ca="1">DATE(YEAR(LF$1),MONTH(LF$1)+InfoM!$H5,InfoM!$I5)</f>
        <v>43611</v>
      </c>
      <c r="LG8" s="30">
        <f ca="1">DATE(YEAR(LG$1),MONTH(LG$1)+InfoM!$H5,InfoM!$I5)</f>
        <v>43642</v>
      </c>
      <c r="LH8" s="30">
        <f ca="1">DATE(YEAR(LH$1),MONTH(LH$1)+InfoM!$H5,InfoM!$I5)</f>
        <v>43672</v>
      </c>
      <c r="LI8" s="30">
        <f ca="1">DATE(YEAR(LI$1),MONTH(LI$1)+InfoM!$H5,InfoM!$I5)</f>
        <v>43703</v>
      </c>
      <c r="LJ8" s="30">
        <f ca="1">DATE(YEAR(LJ$1),MONTH(LJ$1)+InfoM!$H5,InfoM!$I5)</f>
        <v>43734</v>
      </c>
      <c r="LK8" s="30">
        <f ca="1">DATE(YEAR(LK$1),MONTH(LK$1)+InfoM!$H5,InfoM!$I5)</f>
        <v>43764</v>
      </c>
      <c r="LL8" s="30">
        <f ca="1">DATE(YEAR(LL$1),MONTH(LL$1)+InfoM!$H5,InfoM!$I5)</f>
        <v>43795</v>
      </c>
      <c r="LM8" s="30">
        <f ca="1">DATE(YEAR(LM$1),MONTH(LM$1)+InfoM!$H5,InfoM!$I5)</f>
        <v>43825</v>
      </c>
      <c r="LN8" s="30">
        <f ca="1">DATE(YEAR(LN$1),MONTH(LN$1)+InfoM!$H5,InfoM!$I5)</f>
        <v>43856</v>
      </c>
      <c r="LO8" s="30">
        <f ca="1">DATE(YEAR(LO$1),MONTH(LO$1)+InfoM!$H5,InfoM!$I5)</f>
        <v>43887</v>
      </c>
      <c r="LP8" s="30">
        <f ca="1">DATE(YEAR(LP$1),MONTH(LP$1)+InfoM!$H5,InfoM!$I5)</f>
        <v>43916</v>
      </c>
      <c r="LQ8" s="30">
        <f ca="1">DATE(YEAR(LQ$1),MONTH(LQ$1)+InfoM!$H5,InfoM!$I5)</f>
        <v>43947</v>
      </c>
      <c r="LR8" s="30">
        <f ca="1">DATE(YEAR(LR$1),MONTH(LR$1)+InfoM!$H5,InfoM!$I5)</f>
        <v>43977</v>
      </c>
      <c r="LS8" s="30">
        <f ca="1">DATE(YEAR(LS$1),MONTH(LS$1)+InfoM!$H5,InfoM!$I5)</f>
        <v>44008</v>
      </c>
      <c r="LT8" s="30">
        <f ca="1">DATE(YEAR(LT$1),MONTH(LT$1)+InfoM!$H5,InfoM!$I5)</f>
        <v>44038</v>
      </c>
      <c r="LU8" s="30">
        <f ca="1">DATE(YEAR(LU$1),MONTH(LU$1)+InfoM!$H5,InfoM!$I5)</f>
        <v>44069</v>
      </c>
      <c r="LV8" s="30">
        <f ca="1">DATE(YEAR(LV$1),MONTH(LV$1)+InfoM!$H5,InfoM!$I5)</f>
        <v>44100</v>
      </c>
      <c r="LW8" s="30">
        <f ca="1">DATE(YEAR(LW$1),MONTH(LW$1)+InfoM!$H5,InfoM!$I5)</f>
        <v>44130</v>
      </c>
      <c r="LX8" s="30">
        <f ca="1">DATE(YEAR(LX$1),MONTH(LX$1)+InfoM!$H5,InfoM!$I5)</f>
        <v>44161</v>
      </c>
      <c r="LY8" s="30">
        <f ca="1">DATE(YEAR(LY$1),MONTH(LY$1)+InfoM!$H5,InfoM!$I5)</f>
        <v>44191</v>
      </c>
      <c r="LZ8" s="30">
        <f ca="1">DATE(YEAR(LZ$1),MONTH(LZ$1)+InfoM!$H5,InfoM!$I5)</f>
        <v>44222</v>
      </c>
      <c r="MA8" s="30">
        <f ca="1">DATE(YEAR(MA$1),MONTH(MA$1)+InfoM!$H5,InfoM!$I5)</f>
        <v>44253</v>
      </c>
      <c r="MB8" s="30">
        <f ca="1">DATE(YEAR(MB$1),MONTH(MB$1)+InfoM!$H5,InfoM!$I5)</f>
        <v>44281</v>
      </c>
      <c r="MC8" s="30">
        <f ca="1">DATE(YEAR(MC$1),MONTH(MC$1)+InfoM!$H5,InfoM!$I5)</f>
        <v>44312</v>
      </c>
      <c r="MD8" s="30">
        <f ca="1">DATE(YEAR(MD$1),MONTH(MD$1)+InfoM!$H5,InfoM!$I5)</f>
        <v>44342</v>
      </c>
      <c r="ME8" s="30">
        <f ca="1">DATE(YEAR(ME$1),MONTH(ME$1)+InfoM!$H5,InfoM!$I5)</f>
        <v>44373</v>
      </c>
      <c r="MF8" s="30">
        <f ca="1">DATE(YEAR(MF$1),MONTH(MF$1)+InfoM!$H5,InfoM!$I5)</f>
        <v>44403</v>
      </c>
      <c r="MG8" s="30">
        <f ca="1">DATE(YEAR(MG$1),MONTH(MG$1)+InfoM!$H5,InfoM!$I5)</f>
        <v>44434</v>
      </c>
      <c r="MH8" s="30">
        <f ca="1">DATE(YEAR(MH$1),MONTH(MH$1)+InfoM!$H5,InfoM!$I5)</f>
        <v>44465</v>
      </c>
      <c r="MI8" s="30">
        <f ca="1">DATE(YEAR(MI$1),MONTH(MI$1)+InfoM!$H5,InfoM!$I5)</f>
        <v>44495</v>
      </c>
      <c r="MJ8" s="30">
        <f ca="1">DATE(YEAR(MJ$1),MONTH(MJ$1)+InfoM!$H5,InfoM!$I5)</f>
        <v>44526</v>
      </c>
      <c r="MK8" s="30">
        <f ca="1">DATE(YEAR(MK$1),MONTH(MK$1)+InfoM!$H5,InfoM!$I5)</f>
        <v>44556</v>
      </c>
      <c r="ML8" s="30">
        <f ca="1">DATE(YEAR(ML$1),MONTH(ML$1)+InfoM!$H5,InfoM!$I5)</f>
        <v>44587</v>
      </c>
      <c r="MM8" s="30">
        <f ca="1">DATE(YEAR(MM$1),MONTH(MM$1)+InfoM!$H5,InfoM!$I5)</f>
        <v>44618</v>
      </c>
      <c r="MN8" s="30">
        <f ca="1">DATE(YEAR(MN$1),MONTH(MN$1)+InfoM!$H5,InfoM!$I5)</f>
        <v>44646</v>
      </c>
      <c r="MO8" s="30">
        <f ca="1">DATE(YEAR(MO$1),MONTH(MO$1)+InfoM!$H5,InfoM!$I5)</f>
        <v>44677</v>
      </c>
      <c r="MP8" s="30">
        <f ca="1">DATE(YEAR(MP$1),MONTH(MP$1)+InfoM!$H5,InfoM!$I5)</f>
        <v>44707</v>
      </c>
      <c r="MQ8" s="30">
        <f ca="1">DATE(YEAR(MQ$1),MONTH(MQ$1)+InfoM!$H5,InfoM!$I5)</f>
        <v>44738</v>
      </c>
      <c r="MR8" s="30">
        <f ca="1">DATE(YEAR(MR$1),MONTH(MR$1)+InfoM!$H5,InfoM!$I5)</f>
        <v>44768</v>
      </c>
      <c r="MS8" s="30">
        <f ca="1">DATE(YEAR(MS$1),MONTH(MS$1)+InfoM!$H5,InfoM!$I5)</f>
        <v>44799</v>
      </c>
      <c r="MT8" s="30">
        <f ca="1">DATE(YEAR(MT$1),MONTH(MT$1)+InfoM!$H5,InfoM!$I5)</f>
        <v>44830</v>
      </c>
      <c r="MU8" s="30">
        <f ca="1">DATE(YEAR(MU$1),MONTH(MU$1)+InfoM!$H5,InfoM!$I5)</f>
        <v>44860</v>
      </c>
      <c r="MV8" s="30">
        <f ca="1">DATE(YEAR(MV$1),MONTH(MV$1)+InfoM!$H5,InfoM!$I5)</f>
        <v>44891</v>
      </c>
      <c r="MW8" s="30">
        <f ca="1">DATE(YEAR(MW$1),MONTH(MW$1)+InfoM!$H5,InfoM!$I5)</f>
        <v>44921</v>
      </c>
      <c r="MX8" s="30">
        <f ca="1">DATE(YEAR(MX$1),MONTH(MX$1)+InfoM!$H5,InfoM!$I5)</f>
        <v>44952</v>
      </c>
      <c r="MY8" s="30">
        <f ca="1">DATE(YEAR(MY$1),MONTH(MY$1)+InfoM!$H5,InfoM!$I5)</f>
        <v>44983</v>
      </c>
      <c r="MZ8" s="30">
        <f ca="1">DATE(YEAR(MZ$1),MONTH(MZ$1)+InfoM!$H5,InfoM!$I5)</f>
        <v>45011</v>
      </c>
      <c r="NA8" s="30">
        <f ca="1">DATE(YEAR(NA$1),MONTH(NA$1)+InfoM!$H5,InfoM!$I5)</f>
        <v>45042</v>
      </c>
      <c r="NB8" s="30">
        <f ca="1">DATE(YEAR(NB$1),MONTH(NB$1)+InfoM!$H5,InfoM!$I5)</f>
        <v>45072</v>
      </c>
      <c r="NC8" s="30">
        <f ca="1">DATE(YEAR(NC$1),MONTH(NC$1)+InfoM!$H5,InfoM!$I5)</f>
        <v>45103</v>
      </c>
      <c r="ND8" s="30">
        <f ca="1">DATE(YEAR(ND$1),MONTH(ND$1)+InfoM!$H5,InfoM!$I5)</f>
        <v>45133</v>
      </c>
      <c r="NE8" s="30">
        <f ca="1">DATE(YEAR(NE$1),MONTH(NE$1)+InfoM!$H5,InfoM!$I5)</f>
        <v>45164</v>
      </c>
      <c r="NF8" s="30">
        <f ca="1">DATE(YEAR(NF$1),MONTH(NF$1)+InfoM!$H5,InfoM!$I5)</f>
        <v>45195</v>
      </c>
      <c r="NG8" s="30">
        <f ca="1">DATE(YEAR(NG$1),MONTH(NG$1)+InfoM!$H5,InfoM!$I5)</f>
        <v>45225</v>
      </c>
      <c r="NH8" s="30">
        <f ca="1">DATE(YEAR(NH$1),MONTH(NH$1)+InfoM!$H5,InfoM!$I5)</f>
        <v>45256</v>
      </c>
      <c r="NI8" s="30">
        <f ca="1">DATE(YEAR(NI$1),MONTH(NI$1)+InfoM!$H5,InfoM!$I5)</f>
        <v>45286</v>
      </c>
      <c r="NJ8" s="30">
        <f ca="1">DATE(YEAR(NJ$1),MONTH(NJ$1)+InfoM!$H5,InfoM!$I5)</f>
        <v>45317</v>
      </c>
      <c r="NK8" s="30">
        <f ca="1">DATE(YEAR(NK$1),MONTH(NK$1)+InfoM!$H5,InfoM!$I5)</f>
        <v>45348</v>
      </c>
      <c r="NL8" s="30">
        <f ca="1">DATE(YEAR(NL$1),MONTH(NL$1)+InfoM!$H5,InfoM!$I5)</f>
        <v>45377</v>
      </c>
      <c r="NM8" s="30">
        <f ca="1">DATE(YEAR(NM$1),MONTH(NM$1)+InfoM!$H5,InfoM!$I5)</f>
        <v>45408</v>
      </c>
      <c r="NN8" s="30">
        <f ca="1">DATE(YEAR(NN$1),MONTH(NN$1)+InfoM!$H5,InfoM!$I5)</f>
        <v>45438</v>
      </c>
      <c r="NO8" s="30">
        <f ca="1">DATE(YEAR(NO$1),MONTH(NO$1)+InfoM!$H5,InfoM!$I5)</f>
        <v>45469</v>
      </c>
      <c r="NP8" s="30">
        <f ca="1">DATE(YEAR(NP$1),MONTH(NP$1)+InfoM!$H5,InfoM!$I5)</f>
        <v>45499</v>
      </c>
      <c r="NQ8" s="30">
        <f ca="1">DATE(YEAR(NQ$1),MONTH(NQ$1)+InfoM!$H5,InfoM!$I5)</f>
        <v>45530</v>
      </c>
      <c r="NR8" s="30">
        <f ca="1">DATE(YEAR(NR$1),MONTH(NR$1)+InfoM!$H5,InfoM!$I5)</f>
        <v>45561</v>
      </c>
      <c r="NS8" s="30">
        <f ca="1">DATE(YEAR(NS$1),MONTH(NS$1)+InfoM!$H5,InfoM!$I5)</f>
        <v>45591</v>
      </c>
      <c r="NT8" s="30">
        <f ca="1">DATE(YEAR(NT$1),MONTH(NT$1)+InfoM!$H5,InfoM!$I5)</f>
        <v>45622</v>
      </c>
      <c r="NU8" s="30">
        <f ca="1">DATE(YEAR(NU$1),MONTH(NU$1)+InfoM!$H5,InfoM!$I5)</f>
        <v>45652</v>
      </c>
      <c r="NV8" s="30">
        <f ca="1">DATE(YEAR(NV$1),MONTH(NV$1)+InfoM!$H5,InfoM!$I5)</f>
        <v>45683</v>
      </c>
      <c r="NW8" s="30">
        <f ca="1">DATE(YEAR(NW$1),MONTH(NW$1)+InfoM!$H5,InfoM!$I5)</f>
        <v>45714</v>
      </c>
      <c r="NX8" s="30">
        <f ca="1">DATE(YEAR(NX$1),MONTH(NX$1)+InfoM!$H5,InfoM!$I5)</f>
        <v>45742</v>
      </c>
      <c r="NY8" s="30">
        <f ca="1">DATE(YEAR(NY$1),MONTH(NY$1)+InfoM!$H5,InfoM!$I5)</f>
        <v>45773</v>
      </c>
      <c r="NZ8" s="30">
        <f ca="1">DATE(YEAR(NZ$1),MONTH(NZ$1)+InfoM!$H5,InfoM!$I5)</f>
        <v>45803</v>
      </c>
      <c r="OA8" s="30">
        <f ca="1">DATE(YEAR(OA$1),MONTH(OA$1)+InfoM!$H5,InfoM!$I5)</f>
        <v>45834</v>
      </c>
      <c r="OB8" s="30">
        <f ca="1">DATE(YEAR(OB$1),MONTH(OB$1)+InfoM!$H5,InfoM!$I5)</f>
        <v>45864</v>
      </c>
      <c r="OC8" s="30">
        <f ca="1">DATE(YEAR(OC$1),MONTH(OC$1)+InfoM!$H5,InfoM!$I5)</f>
        <v>45895</v>
      </c>
      <c r="OD8" s="30">
        <f ca="1">DATE(YEAR(OD$1),MONTH(OD$1)+InfoM!$H5,InfoM!$I5)</f>
        <v>45926</v>
      </c>
      <c r="OE8" s="30">
        <f ca="1">DATE(YEAR(OE$1),MONTH(OE$1)+InfoM!$H5,InfoM!$I5)</f>
        <v>45956</v>
      </c>
      <c r="OF8" s="30">
        <f ca="1">DATE(YEAR(OF$1),MONTH(OF$1)+InfoM!$H5,InfoM!$I5)</f>
        <v>45987</v>
      </c>
      <c r="OG8" s="30">
        <f ca="1">DATE(YEAR(OG$1),MONTH(OG$1)+InfoM!$H5,InfoM!$I5)</f>
        <v>46017</v>
      </c>
      <c r="OH8" s="30">
        <f ca="1">DATE(YEAR(OH$1),MONTH(OH$1)+InfoM!$H5,InfoM!$I5)</f>
        <v>46048</v>
      </c>
      <c r="OI8" s="30">
        <f ca="1">DATE(YEAR(OI$1),MONTH(OI$1)+InfoM!$H5,InfoM!$I5)</f>
        <v>46079</v>
      </c>
      <c r="OJ8" s="30">
        <f ca="1">DATE(YEAR(OJ$1),MONTH(OJ$1)+InfoM!$H5,InfoM!$I5)</f>
        <v>46107</v>
      </c>
      <c r="OK8" s="30">
        <f ca="1">DATE(YEAR(OK$1),MONTH(OK$1)+InfoM!$H5,InfoM!$I5)</f>
        <v>46138</v>
      </c>
      <c r="OL8" s="30">
        <f ca="1">DATE(YEAR(OL$1),MONTH(OL$1)+InfoM!$H5,InfoM!$I5)</f>
        <v>46168</v>
      </c>
      <c r="OM8" s="30">
        <f ca="1">DATE(YEAR(OM$1),MONTH(OM$1)+InfoM!$H5,InfoM!$I5)</f>
        <v>46199</v>
      </c>
      <c r="ON8" s="30">
        <f ca="1">DATE(YEAR(ON$1),MONTH(ON$1)+InfoM!$H5,InfoM!$I5)</f>
        <v>46229</v>
      </c>
      <c r="OO8" s="30">
        <f ca="1">DATE(YEAR(OO$1),MONTH(OO$1)+InfoM!$H5,InfoM!$I5)</f>
        <v>46260</v>
      </c>
      <c r="OP8" s="30">
        <f ca="1">DATE(YEAR(OP$1),MONTH(OP$1)+InfoM!$H5,InfoM!$I5)</f>
        <v>46291</v>
      </c>
      <c r="OQ8" s="30">
        <f ca="1">DATE(YEAR(OQ$1),MONTH(OQ$1)+InfoM!$H5,InfoM!$I5)</f>
        <v>46321</v>
      </c>
      <c r="OR8" s="30">
        <f ca="1">DATE(YEAR(OR$1),MONTH(OR$1)+InfoM!$H5,InfoM!$I5)</f>
        <v>46352</v>
      </c>
      <c r="OS8" s="30">
        <f ca="1">DATE(YEAR(OS$1),MONTH(OS$1)+InfoM!$H5,InfoM!$I5)</f>
        <v>46382</v>
      </c>
      <c r="OT8" s="30">
        <f ca="1">DATE(YEAR(OT$1),MONTH(OT$1)+InfoM!$H5,InfoM!$I5)</f>
        <v>46413</v>
      </c>
    </row>
    <row r="9" spans="1:410" x14ac:dyDescent="0.35">
      <c r="A9" s="19" t="str">
        <f>InfoM!A6</f>
        <v>Export</v>
      </c>
      <c r="B9">
        <f>InfoM!G6</f>
        <v>1</v>
      </c>
      <c r="C9" s="30">
        <f>DATE(YEAR(C$1),MONTH(C$1)+InfoM!$H6,InfoM!$I6)</f>
        <v>34029</v>
      </c>
      <c r="D9" s="30">
        <f ca="1">DATE(YEAR(D$1),MONTH(D$1)+InfoM!$H6,InfoM!$I6)</f>
        <v>34060</v>
      </c>
      <c r="E9" s="30">
        <f ca="1">DATE(YEAR(E$1),MONTH(E$1)+InfoM!$H6,InfoM!$I6)</f>
        <v>34090</v>
      </c>
      <c r="F9" s="30">
        <f ca="1">DATE(YEAR(F$1),MONTH(F$1)+InfoM!$H6,InfoM!$I6)</f>
        <v>34121</v>
      </c>
      <c r="G9" s="30">
        <f ca="1">DATE(YEAR(G$1),MONTH(G$1)+InfoM!$H6,InfoM!$I6)</f>
        <v>34151</v>
      </c>
      <c r="H9" s="30">
        <f ca="1">DATE(YEAR(H$1),MONTH(H$1)+InfoM!$H6,InfoM!$I6)</f>
        <v>34182</v>
      </c>
      <c r="I9" s="30">
        <f ca="1">DATE(YEAR(I$1),MONTH(I$1)+InfoM!$H6,InfoM!$I6)</f>
        <v>34213</v>
      </c>
      <c r="J9" s="30">
        <f ca="1">DATE(YEAR(J$1),MONTH(J$1)+InfoM!$H6,InfoM!$I6)</f>
        <v>34243</v>
      </c>
      <c r="K9" s="30">
        <f ca="1">DATE(YEAR(K$1),MONTH(K$1)+InfoM!$H6,InfoM!$I6)</f>
        <v>34274</v>
      </c>
      <c r="L9" s="30">
        <f ca="1">DATE(YEAR(L$1),MONTH(L$1)+InfoM!$H6,InfoM!$I6)</f>
        <v>34304</v>
      </c>
      <c r="M9" s="30">
        <f ca="1">DATE(YEAR(M$1),MONTH(M$1)+InfoM!$H6,InfoM!$I6)</f>
        <v>34335</v>
      </c>
      <c r="N9" s="30">
        <f ca="1">DATE(YEAR(N$1),MONTH(N$1)+InfoM!$H6,InfoM!$I6)</f>
        <v>34366</v>
      </c>
      <c r="O9" s="30">
        <f ca="1">DATE(YEAR(O$1),MONTH(O$1)+InfoM!$H6,InfoM!$I6)</f>
        <v>34394</v>
      </c>
      <c r="P9" s="30">
        <f ca="1">DATE(YEAR(P$1),MONTH(P$1)+InfoM!$H6,InfoM!$I6)</f>
        <v>34425</v>
      </c>
      <c r="Q9" s="30">
        <f ca="1">DATE(YEAR(Q$1),MONTH(Q$1)+InfoM!$H6,InfoM!$I6)</f>
        <v>34455</v>
      </c>
      <c r="R9" s="30">
        <f ca="1">DATE(YEAR(R$1),MONTH(R$1)+InfoM!$H6,InfoM!$I6)</f>
        <v>34486</v>
      </c>
      <c r="S9" s="30">
        <f ca="1">DATE(YEAR(S$1),MONTH(S$1)+InfoM!$H6,InfoM!$I6)</f>
        <v>34516</v>
      </c>
      <c r="T9" s="30">
        <f ca="1">DATE(YEAR(T$1),MONTH(T$1)+InfoM!$H6,InfoM!$I6)</f>
        <v>34547</v>
      </c>
      <c r="U9" s="30">
        <f ca="1">DATE(YEAR(U$1),MONTH(U$1)+InfoM!$H6,InfoM!$I6)</f>
        <v>34578</v>
      </c>
      <c r="V9" s="30">
        <f ca="1">DATE(YEAR(V$1),MONTH(V$1)+InfoM!$H6,InfoM!$I6)</f>
        <v>34608</v>
      </c>
      <c r="W9" s="30">
        <f ca="1">DATE(YEAR(W$1),MONTH(W$1)+InfoM!$H6,InfoM!$I6)</f>
        <v>34639</v>
      </c>
      <c r="X9" s="30">
        <f ca="1">DATE(YEAR(X$1),MONTH(X$1)+InfoM!$H6,InfoM!$I6)</f>
        <v>34669</v>
      </c>
      <c r="Y9" s="30">
        <f ca="1">DATE(YEAR(Y$1),MONTH(Y$1)+InfoM!$H6,InfoM!$I6)</f>
        <v>34700</v>
      </c>
      <c r="Z9" s="30">
        <f ca="1">DATE(YEAR(Z$1),MONTH(Z$1)+InfoM!$H6,InfoM!$I6)</f>
        <v>34731</v>
      </c>
      <c r="AA9" s="30">
        <f ca="1">DATE(YEAR(AA$1),MONTH(AA$1)+InfoM!$H6,InfoM!$I6)</f>
        <v>34759</v>
      </c>
      <c r="AB9" s="30">
        <f ca="1">DATE(YEAR(AB$1),MONTH(AB$1)+InfoM!$H6,InfoM!$I6)</f>
        <v>34790</v>
      </c>
      <c r="AC9" s="30">
        <f ca="1">DATE(YEAR(AC$1),MONTH(AC$1)+InfoM!$H6,InfoM!$I6)</f>
        <v>34820</v>
      </c>
      <c r="AD9" s="30">
        <f ca="1">DATE(YEAR(AD$1),MONTH(AD$1)+InfoM!$H6,InfoM!$I6)</f>
        <v>34851</v>
      </c>
      <c r="AE9" s="30">
        <f ca="1">DATE(YEAR(AE$1),MONTH(AE$1)+InfoM!$H6,InfoM!$I6)</f>
        <v>34881</v>
      </c>
      <c r="AF9" s="30">
        <f ca="1">DATE(YEAR(AF$1),MONTH(AF$1)+InfoM!$H6,InfoM!$I6)</f>
        <v>34912</v>
      </c>
      <c r="AG9" s="30">
        <f ca="1">DATE(YEAR(AG$1),MONTH(AG$1)+InfoM!$H6,InfoM!$I6)</f>
        <v>34943</v>
      </c>
      <c r="AH9" s="30">
        <f ca="1">DATE(YEAR(AH$1),MONTH(AH$1)+InfoM!$H6,InfoM!$I6)</f>
        <v>34973</v>
      </c>
      <c r="AI9" s="30">
        <f ca="1">DATE(YEAR(AI$1),MONTH(AI$1)+InfoM!$H6,InfoM!$I6)</f>
        <v>35004</v>
      </c>
      <c r="AJ9" s="30">
        <f ca="1">DATE(YEAR(AJ$1),MONTH(AJ$1)+InfoM!$H6,InfoM!$I6)</f>
        <v>35034</v>
      </c>
      <c r="AK9" s="30">
        <f ca="1">DATE(YEAR(AK$1),MONTH(AK$1)+InfoM!$H6,InfoM!$I6)</f>
        <v>35065</v>
      </c>
      <c r="AL9" s="30">
        <f ca="1">DATE(YEAR(AL$1),MONTH(AL$1)+InfoM!$H6,InfoM!$I6)</f>
        <v>35096</v>
      </c>
      <c r="AM9" s="30">
        <f ca="1">DATE(YEAR(AM$1),MONTH(AM$1)+InfoM!$H6,InfoM!$I6)</f>
        <v>35125</v>
      </c>
      <c r="AN9" s="30">
        <f ca="1">DATE(YEAR(AN$1),MONTH(AN$1)+InfoM!$H6,InfoM!$I6)</f>
        <v>35156</v>
      </c>
      <c r="AO9" s="30">
        <f ca="1">DATE(YEAR(AO$1),MONTH(AO$1)+InfoM!$H6,InfoM!$I6)</f>
        <v>35186</v>
      </c>
      <c r="AP9" s="30">
        <f ca="1">DATE(YEAR(AP$1),MONTH(AP$1)+InfoM!$H6,InfoM!$I6)</f>
        <v>35217</v>
      </c>
      <c r="AQ9" s="30">
        <f ca="1">DATE(YEAR(AQ$1),MONTH(AQ$1)+InfoM!$H6,InfoM!$I6)</f>
        <v>35247</v>
      </c>
      <c r="AR9" s="30">
        <f ca="1">DATE(YEAR(AR$1),MONTH(AR$1)+InfoM!$H6,InfoM!$I6)</f>
        <v>35278</v>
      </c>
      <c r="AS9" s="30">
        <f ca="1">DATE(YEAR(AS$1),MONTH(AS$1)+InfoM!$H6,InfoM!$I6)</f>
        <v>35309</v>
      </c>
      <c r="AT9" s="30">
        <f ca="1">DATE(YEAR(AT$1),MONTH(AT$1)+InfoM!$H6,InfoM!$I6)</f>
        <v>35339</v>
      </c>
      <c r="AU9" s="30">
        <f ca="1">DATE(YEAR(AU$1),MONTH(AU$1)+InfoM!$H6,InfoM!$I6)</f>
        <v>35370</v>
      </c>
      <c r="AV9" s="30">
        <f ca="1">DATE(YEAR(AV$1),MONTH(AV$1)+InfoM!$H6,InfoM!$I6)</f>
        <v>35400</v>
      </c>
      <c r="AW9" s="30">
        <f ca="1">DATE(YEAR(AW$1),MONTH(AW$1)+InfoM!$H6,InfoM!$I6)</f>
        <v>35431</v>
      </c>
      <c r="AX9" s="30">
        <f ca="1">DATE(YEAR(AX$1),MONTH(AX$1)+InfoM!$H6,InfoM!$I6)</f>
        <v>35462</v>
      </c>
      <c r="AY9" s="30">
        <f ca="1">DATE(YEAR(AY$1),MONTH(AY$1)+InfoM!$H6,InfoM!$I6)</f>
        <v>35490</v>
      </c>
      <c r="AZ9" s="30">
        <f ca="1">DATE(YEAR(AZ$1),MONTH(AZ$1)+InfoM!$H6,InfoM!$I6)</f>
        <v>35521</v>
      </c>
      <c r="BA9" s="30">
        <f ca="1">DATE(YEAR(BA$1),MONTH(BA$1)+InfoM!$H6,InfoM!$I6)</f>
        <v>35551</v>
      </c>
      <c r="BB9" s="30">
        <f ca="1">DATE(YEAR(BB$1),MONTH(BB$1)+InfoM!$H6,InfoM!$I6)</f>
        <v>35582</v>
      </c>
      <c r="BC9" s="30">
        <f ca="1">DATE(YEAR(BC$1),MONTH(BC$1)+InfoM!$H6,InfoM!$I6)</f>
        <v>35612</v>
      </c>
      <c r="BD9" s="30">
        <f ca="1">DATE(YEAR(BD$1),MONTH(BD$1)+InfoM!$H6,InfoM!$I6)</f>
        <v>35643</v>
      </c>
      <c r="BE9" s="30">
        <f ca="1">DATE(YEAR(BE$1),MONTH(BE$1)+InfoM!$H6,InfoM!$I6)</f>
        <v>35674</v>
      </c>
      <c r="BF9" s="30">
        <f ca="1">DATE(YEAR(BF$1),MONTH(BF$1)+InfoM!$H6,InfoM!$I6)</f>
        <v>35704</v>
      </c>
      <c r="BG9" s="30">
        <f ca="1">DATE(YEAR(BG$1),MONTH(BG$1)+InfoM!$H6,InfoM!$I6)</f>
        <v>35735</v>
      </c>
      <c r="BH9" s="30">
        <f ca="1">DATE(YEAR(BH$1),MONTH(BH$1)+InfoM!$H6,InfoM!$I6)</f>
        <v>35765</v>
      </c>
      <c r="BI9" s="30">
        <f ca="1">DATE(YEAR(BI$1),MONTH(BI$1)+InfoM!$H6,InfoM!$I6)</f>
        <v>35796</v>
      </c>
      <c r="BJ9" s="30">
        <f ca="1">DATE(YEAR(BJ$1),MONTH(BJ$1)+InfoM!$H6,InfoM!$I6)</f>
        <v>35827</v>
      </c>
      <c r="BK9" s="30">
        <f ca="1">DATE(YEAR(BK$1),MONTH(BK$1)+InfoM!$H6,InfoM!$I6)</f>
        <v>35855</v>
      </c>
      <c r="BL9" s="30">
        <f ca="1">DATE(YEAR(BL$1),MONTH(BL$1)+InfoM!$H6,InfoM!$I6)</f>
        <v>35886</v>
      </c>
      <c r="BM9" s="30">
        <f ca="1">DATE(YEAR(BM$1),MONTH(BM$1)+InfoM!$H6,InfoM!$I6)</f>
        <v>35916</v>
      </c>
      <c r="BN9" s="30">
        <f ca="1">DATE(YEAR(BN$1),MONTH(BN$1)+InfoM!$H6,InfoM!$I6)</f>
        <v>35947</v>
      </c>
      <c r="BO9" s="30">
        <f ca="1">DATE(YEAR(BO$1),MONTH(BO$1)+InfoM!$H6,InfoM!$I6)</f>
        <v>35977</v>
      </c>
      <c r="BP9" s="30">
        <f ca="1">DATE(YEAR(BP$1),MONTH(BP$1)+InfoM!$H6,InfoM!$I6)</f>
        <v>36008</v>
      </c>
      <c r="BQ9" s="30">
        <f ca="1">DATE(YEAR(BQ$1),MONTH(BQ$1)+InfoM!$H6,InfoM!$I6)</f>
        <v>36039</v>
      </c>
      <c r="BR9" s="30">
        <f ca="1">DATE(YEAR(BR$1),MONTH(BR$1)+InfoM!$H6,InfoM!$I6)</f>
        <v>36069</v>
      </c>
      <c r="BS9" s="30">
        <f ca="1">DATE(YEAR(BS$1),MONTH(BS$1)+InfoM!$H6,InfoM!$I6)</f>
        <v>36100</v>
      </c>
      <c r="BT9" s="30">
        <f ca="1">DATE(YEAR(BT$1),MONTH(BT$1)+InfoM!$H6,InfoM!$I6)</f>
        <v>36130</v>
      </c>
      <c r="BU9" s="30">
        <f ca="1">DATE(YEAR(BU$1),MONTH(BU$1)+InfoM!$H6,InfoM!$I6)</f>
        <v>36161</v>
      </c>
      <c r="BV9" s="30">
        <f ca="1">DATE(YEAR(BV$1),MONTH(BV$1)+InfoM!$H6,InfoM!$I6)</f>
        <v>36192</v>
      </c>
      <c r="BW9" s="30">
        <f ca="1">DATE(YEAR(BW$1),MONTH(BW$1)+InfoM!$H6,InfoM!$I6)</f>
        <v>36220</v>
      </c>
      <c r="BX9" s="30">
        <f ca="1">DATE(YEAR(BX$1),MONTH(BX$1)+InfoM!$H6,InfoM!$I6)</f>
        <v>36251</v>
      </c>
      <c r="BY9" s="30">
        <f ca="1">DATE(YEAR(BY$1),MONTH(BY$1)+InfoM!$H6,InfoM!$I6)</f>
        <v>36281</v>
      </c>
      <c r="BZ9" s="30">
        <f ca="1">DATE(YEAR(BZ$1),MONTH(BZ$1)+InfoM!$H6,InfoM!$I6)</f>
        <v>36312</v>
      </c>
      <c r="CA9" s="30">
        <f ca="1">DATE(YEAR(CA$1),MONTH(CA$1)+InfoM!$H6,InfoM!$I6)</f>
        <v>36342</v>
      </c>
      <c r="CB9" s="30">
        <f ca="1">DATE(YEAR(CB$1),MONTH(CB$1)+InfoM!$H6,InfoM!$I6)</f>
        <v>36373</v>
      </c>
      <c r="CC9" s="30">
        <f ca="1">DATE(YEAR(CC$1),MONTH(CC$1)+InfoM!$H6,InfoM!$I6)</f>
        <v>36404</v>
      </c>
      <c r="CD9" s="30">
        <f ca="1">DATE(YEAR(CD$1),MONTH(CD$1)+InfoM!$H6,InfoM!$I6)</f>
        <v>36434</v>
      </c>
      <c r="CE9" s="30">
        <f ca="1">DATE(YEAR(CE$1),MONTH(CE$1)+InfoM!$H6,InfoM!$I6)</f>
        <v>36465</v>
      </c>
      <c r="CF9" s="30">
        <f ca="1">DATE(YEAR(CF$1),MONTH(CF$1)+InfoM!$H6,InfoM!$I6)</f>
        <v>36495</v>
      </c>
      <c r="CG9" s="30">
        <f ca="1">DATE(YEAR(CG$1),MONTH(CG$1)+InfoM!$H6,InfoM!$I6)</f>
        <v>36526</v>
      </c>
      <c r="CH9" s="30">
        <f ca="1">DATE(YEAR(CH$1),MONTH(CH$1)+InfoM!$H6,InfoM!$I6)</f>
        <v>36557</v>
      </c>
      <c r="CI9" s="30">
        <f ca="1">DATE(YEAR(CI$1),MONTH(CI$1)+InfoM!$H6,InfoM!$I6)</f>
        <v>36586</v>
      </c>
      <c r="CJ9" s="30">
        <f ca="1">DATE(YEAR(CJ$1),MONTH(CJ$1)+InfoM!$H6,InfoM!$I6)</f>
        <v>36617</v>
      </c>
      <c r="CK9" s="30">
        <f ca="1">DATE(YEAR(CK$1),MONTH(CK$1)+InfoM!$H6,InfoM!$I6)</f>
        <v>36647</v>
      </c>
      <c r="CL9" s="30">
        <f ca="1">DATE(YEAR(CL$1),MONTH(CL$1)+InfoM!$H6,InfoM!$I6)</f>
        <v>36678</v>
      </c>
      <c r="CM9" s="30">
        <f ca="1">DATE(YEAR(CM$1),MONTH(CM$1)+InfoM!$H6,InfoM!$I6)</f>
        <v>36708</v>
      </c>
      <c r="CN9" s="30">
        <f ca="1">DATE(YEAR(CN$1),MONTH(CN$1)+InfoM!$H6,InfoM!$I6)</f>
        <v>36739</v>
      </c>
      <c r="CO9" s="30">
        <f ca="1">DATE(YEAR(CO$1),MONTH(CO$1)+InfoM!$H6,InfoM!$I6)</f>
        <v>36770</v>
      </c>
      <c r="CP9" s="30">
        <f ca="1">DATE(YEAR(CP$1),MONTH(CP$1)+InfoM!$H6,InfoM!$I6)</f>
        <v>36800</v>
      </c>
      <c r="CQ9" s="30">
        <f ca="1">DATE(YEAR(CQ$1),MONTH(CQ$1)+InfoM!$H6,InfoM!$I6)</f>
        <v>36831</v>
      </c>
      <c r="CR9" s="30">
        <f ca="1">DATE(YEAR(CR$1),MONTH(CR$1)+InfoM!$H6,InfoM!$I6)</f>
        <v>36861</v>
      </c>
      <c r="CS9" s="30">
        <f ca="1">DATE(YEAR(CS$1),MONTH(CS$1)+InfoM!$H6,InfoM!$I6)</f>
        <v>36892</v>
      </c>
      <c r="CT9" s="30">
        <f ca="1">DATE(YEAR(CT$1),MONTH(CT$1)+InfoM!$H6,InfoM!$I6)</f>
        <v>36923</v>
      </c>
      <c r="CU9" s="30">
        <f ca="1">DATE(YEAR(CU$1),MONTH(CU$1)+InfoM!$H6,InfoM!$I6)</f>
        <v>36951</v>
      </c>
      <c r="CV9" s="30">
        <f ca="1">DATE(YEAR(CV$1),MONTH(CV$1)+InfoM!$H6,InfoM!$I6)</f>
        <v>36982</v>
      </c>
      <c r="CW9" s="30">
        <f ca="1">DATE(YEAR(CW$1),MONTH(CW$1)+InfoM!$H6,InfoM!$I6)</f>
        <v>37012</v>
      </c>
      <c r="CX9" s="30">
        <f ca="1">DATE(YEAR(CX$1),MONTH(CX$1)+InfoM!$H6,InfoM!$I6)</f>
        <v>37043</v>
      </c>
      <c r="CY9" s="30">
        <f ca="1">DATE(YEAR(CY$1),MONTH(CY$1)+InfoM!$H6,InfoM!$I6)</f>
        <v>37073</v>
      </c>
      <c r="CZ9" s="30">
        <f ca="1">DATE(YEAR(CZ$1),MONTH(CZ$1)+InfoM!$H6,InfoM!$I6)</f>
        <v>37104</v>
      </c>
      <c r="DA9" s="30">
        <f ca="1">DATE(YEAR(DA$1),MONTH(DA$1)+InfoM!$H6,InfoM!$I6)</f>
        <v>37135</v>
      </c>
      <c r="DB9" s="30">
        <f ca="1">DATE(YEAR(DB$1),MONTH(DB$1)+InfoM!$H6,InfoM!$I6)</f>
        <v>37165</v>
      </c>
      <c r="DC9" s="30">
        <f ca="1">DATE(YEAR(DC$1),MONTH(DC$1)+InfoM!$H6,InfoM!$I6)</f>
        <v>37196</v>
      </c>
      <c r="DD9" s="30">
        <f ca="1">DATE(YEAR(DD$1),MONTH(DD$1)+InfoM!$H6,InfoM!$I6)</f>
        <v>37226</v>
      </c>
      <c r="DE9" s="30">
        <f ca="1">DATE(YEAR(DE$1),MONTH(DE$1)+InfoM!$H6,InfoM!$I6)</f>
        <v>37257</v>
      </c>
      <c r="DF9" s="30">
        <f ca="1">DATE(YEAR(DF$1),MONTH(DF$1)+InfoM!$H6,InfoM!$I6)</f>
        <v>37288</v>
      </c>
      <c r="DG9" s="30">
        <f ca="1">DATE(YEAR(DG$1),MONTH(DG$1)+InfoM!$H6,InfoM!$I6)</f>
        <v>37316</v>
      </c>
      <c r="DH9" s="30">
        <f ca="1">DATE(YEAR(DH$1),MONTH(DH$1)+InfoM!$H6,InfoM!$I6)</f>
        <v>37347</v>
      </c>
      <c r="DI9" s="30">
        <f ca="1">DATE(YEAR(DI$1),MONTH(DI$1)+InfoM!$H6,InfoM!$I6)</f>
        <v>37377</v>
      </c>
      <c r="DJ9" s="30">
        <f ca="1">DATE(YEAR(DJ$1),MONTH(DJ$1)+InfoM!$H6,InfoM!$I6)</f>
        <v>37408</v>
      </c>
      <c r="DK9" s="30">
        <f ca="1">DATE(YEAR(DK$1),MONTH(DK$1)+InfoM!$H6,InfoM!$I6)</f>
        <v>37438</v>
      </c>
      <c r="DL9" s="30">
        <f ca="1">DATE(YEAR(DL$1),MONTH(DL$1)+InfoM!$H6,InfoM!$I6)</f>
        <v>37469</v>
      </c>
      <c r="DM9" s="30">
        <f ca="1">DATE(YEAR(DM$1),MONTH(DM$1)+InfoM!$H6,InfoM!$I6)</f>
        <v>37500</v>
      </c>
      <c r="DN9" s="30">
        <f ca="1">DATE(YEAR(DN$1),MONTH(DN$1)+InfoM!$H6,InfoM!$I6)</f>
        <v>37530</v>
      </c>
      <c r="DO9" s="30">
        <f ca="1">DATE(YEAR(DO$1),MONTH(DO$1)+InfoM!$H6,InfoM!$I6)</f>
        <v>37561</v>
      </c>
      <c r="DP9" s="30">
        <f ca="1">DATE(YEAR(DP$1),MONTH(DP$1)+InfoM!$H6,InfoM!$I6)</f>
        <v>37591</v>
      </c>
      <c r="DQ9" s="30">
        <f ca="1">DATE(YEAR(DQ$1),MONTH(DQ$1)+InfoM!$H6,InfoM!$I6)</f>
        <v>37622</v>
      </c>
      <c r="DR9" s="30">
        <f ca="1">DATE(YEAR(DR$1),MONTH(DR$1)+InfoM!$H6,InfoM!$I6)</f>
        <v>37653</v>
      </c>
      <c r="DS9" s="30">
        <f ca="1">DATE(YEAR(DS$1),MONTH(DS$1)+InfoM!$H6,InfoM!$I6)</f>
        <v>37681</v>
      </c>
      <c r="DT9" s="30">
        <f ca="1">DATE(YEAR(DT$1),MONTH(DT$1)+InfoM!$H6,InfoM!$I6)</f>
        <v>37712</v>
      </c>
      <c r="DU9" s="30">
        <f ca="1">DATE(YEAR(DU$1),MONTH(DU$1)+InfoM!$H6,InfoM!$I6)</f>
        <v>37742</v>
      </c>
      <c r="DV9" s="30">
        <f ca="1">DATE(YEAR(DV$1),MONTH(DV$1)+InfoM!$H6,InfoM!$I6)</f>
        <v>37773</v>
      </c>
      <c r="DW9" s="30">
        <f ca="1">DATE(YEAR(DW$1),MONTH(DW$1)+InfoM!$H6,InfoM!$I6)</f>
        <v>37803</v>
      </c>
      <c r="DX9" s="30">
        <f ca="1">DATE(YEAR(DX$1),MONTH(DX$1)+InfoM!$H6,InfoM!$I6)</f>
        <v>37834</v>
      </c>
      <c r="DY9" s="30">
        <f ca="1">DATE(YEAR(DY$1),MONTH(DY$1)+InfoM!$H6,InfoM!$I6)</f>
        <v>37865</v>
      </c>
      <c r="DZ9" s="30">
        <f ca="1">DATE(YEAR(DZ$1),MONTH(DZ$1)+InfoM!$H6,InfoM!$I6)</f>
        <v>37895</v>
      </c>
      <c r="EA9" s="30">
        <f ca="1">DATE(YEAR(EA$1),MONTH(EA$1)+InfoM!$H6,InfoM!$I6)</f>
        <v>37926</v>
      </c>
      <c r="EB9" s="30">
        <f ca="1">DATE(YEAR(EB$1),MONTH(EB$1)+InfoM!$H6,InfoM!$I6)</f>
        <v>37956</v>
      </c>
      <c r="EC9" s="30">
        <f ca="1">DATE(YEAR(EC$1),MONTH(EC$1)+InfoM!$H6,InfoM!$I6)</f>
        <v>37987</v>
      </c>
      <c r="ED9" s="30">
        <f ca="1">DATE(YEAR(ED$1),MONTH(ED$1)+InfoM!$H6,InfoM!$I6)</f>
        <v>38018</v>
      </c>
      <c r="EE9" s="30">
        <f ca="1">DATE(YEAR(EE$1),MONTH(EE$1)+InfoM!$H6,InfoM!$I6)</f>
        <v>38047</v>
      </c>
      <c r="EF9" s="30">
        <f ca="1">DATE(YEAR(EF$1),MONTH(EF$1)+InfoM!$H6,InfoM!$I6)</f>
        <v>38078</v>
      </c>
      <c r="EG9" s="30">
        <f ca="1">DATE(YEAR(EG$1),MONTH(EG$1)+InfoM!$H6,InfoM!$I6)</f>
        <v>38108</v>
      </c>
      <c r="EH9" s="30">
        <f ca="1">DATE(YEAR(EH$1),MONTH(EH$1)+InfoM!$H6,InfoM!$I6)</f>
        <v>38139</v>
      </c>
      <c r="EI9" s="30">
        <f ca="1">DATE(YEAR(EI$1),MONTH(EI$1)+InfoM!$H6,InfoM!$I6)</f>
        <v>38169</v>
      </c>
      <c r="EJ9" s="30">
        <f ca="1">DATE(YEAR(EJ$1),MONTH(EJ$1)+InfoM!$H6,InfoM!$I6)</f>
        <v>38200</v>
      </c>
      <c r="EK9" s="30">
        <f ca="1">DATE(YEAR(EK$1),MONTH(EK$1)+InfoM!$H6,InfoM!$I6)</f>
        <v>38231</v>
      </c>
      <c r="EL9" s="30">
        <f ca="1">DATE(YEAR(EL$1),MONTH(EL$1)+InfoM!$H6,InfoM!$I6)</f>
        <v>38261</v>
      </c>
      <c r="EM9" s="30">
        <f ca="1">DATE(YEAR(EM$1),MONTH(EM$1)+InfoM!$H6,InfoM!$I6)</f>
        <v>38292</v>
      </c>
      <c r="EN9" s="30">
        <f ca="1">DATE(YEAR(EN$1),MONTH(EN$1)+InfoM!$H6,InfoM!$I6)</f>
        <v>38322</v>
      </c>
      <c r="EO9" s="30">
        <f ca="1">DATE(YEAR(EO$1),MONTH(EO$1)+InfoM!$H6,InfoM!$I6)</f>
        <v>38353</v>
      </c>
      <c r="EP9" s="30">
        <f ca="1">DATE(YEAR(EP$1),MONTH(EP$1)+InfoM!$H6,InfoM!$I6)</f>
        <v>38384</v>
      </c>
      <c r="EQ9" s="30">
        <f ca="1">DATE(YEAR(EQ$1),MONTH(EQ$1)+InfoM!$H6,InfoM!$I6)</f>
        <v>38412</v>
      </c>
      <c r="ER9" s="30">
        <f ca="1">DATE(YEAR(ER$1),MONTH(ER$1)+InfoM!$H6,InfoM!$I6)</f>
        <v>38443</v>
      </c>
      <c r="ES9" s="30">
        <f ca="1">DATE(YEAR(ES$1),MONTH(ES$1)+InfoM!$H6,InfoM!$I6)</f>
        <v>38473</v>
      </c>
      <c r="ET9" s="30">
        <f ca="1">DATE(YEAR(ET$1),MONTH(ET$1)+InfoM!$H6,InfoM!$I6)</f>
        <v>38504</v>
      </c>
      <c r="EU9" s="30">
        <f ca="1">DATE(YEAR(EU$1),MONTH(EU$1)+InfoM!$H6,InfoM!$I6)</f>
        <v>38534</v>
      </c>
      <c r="EV9" s="30">
        <f ca="1">DATE(YEAR(EV$1),MONTH(EV$1)+InfoM!$H6,InfoM!$I6)</f>
        <v>38565</v>
      </c>
      <c r="EW9" s="30">
        <f ca="1">DATE(YEAR(EW$1),MONTH(EW$1)+InfoM!$H6,InfoM!$I6)</f>
        <v>38596</v>
      </c>
      <c r="EX9" s="30">
        <f ca="1">DATE(YEAR(EX$1),MONTH(EX$1)+InfoM!$H6,InfoM!$I6)</f>
        <v>38626</v>
      </c>
      <c r="EY9" s="30">
        <f ca="1">DATE(YEAR(EY$1),MONTH(EY$1)+InfoM!$H6,InfoM!$I6)</f>
        <v>38657</v>
      </c>
      <c r="EZ9" s="30">
        <f ca="1">DATE(YEAR(EZ$1),MONTH(EZ$1)+InfoM!$H6,InfoM!$I6)</f>
        <v>38687</v>
      </c>
      <c r="FA9" s="30">
        <f ca="1">DATE(YEAR(FA$1),MONTH(FA$1)+InfoM!$H6,InfoM!$I6)</f>
        <v>38718</v>
      </c>
      <c r="FB9" s="30">
        <f ca="1">DATE(YEAR(FB$1),MONTH(FB$1)+InfoM!$H6,InfoM!$I6)</f>
        <v>38749</v>
      </c>
      <c r="FC9" s="30">
        <f ca="1">DATE(YEAR(FC$1),MONTH(FC$1)+InfoM!$H6,InfoM!$I6)</f>
        <v>38777</v>
      </c>
      <c r="FD9" s="30">
        <f ca="1">DATE(YEAR(FD$1),MONTH(FD$1)+InfoM!$H6,InfoM!$I6)</f>
        <v>38808</v>
      </c>
      <c r="FE9" s="30">
        <f ca="1">DATE(YEAR(FE$1),MONTH(FE$1)+InfoM!$H6,InfoM!$I6)</f>
        <v>38838</v>
      </c>
      <c r="FF9" s="30">
        <f ca="1">DATE(YEAR(FF$1),MONTH(FF$1)+InfoM!$H6,InfoM!$I6)</f>
        <v>38869</v>
      </c>
      <c r="FG9" s="30">
        <f ca="1">DATE(YEAR(FG$1),MONTH(FG$1)+InfoM!$H6,InfoM!$I6)</f>
        <v>38899</v>
      </c>
      <c r="FH9" s="30">
        <f ca="1">DATE(YEAR(FH$1),MONTH(FH$1)+InfoM!$H6,InfoM!$I6)</f>
        <v>38930</v>
      </c>
      <c r="FI9" s="30">
        <f ca="1">DATE(YEAR(FI$1),MONTH(FI$1)+InfoM!$H6,InfoM!$I6)</f>
        <v>38961</v>
      </c>
      <c r="FJ9" s="30">
        <f ca="1">DATE(YEAR(FJ$1),MONTH(FJ$1)+InfoM!$H6,InfoM!$I6)</f>
        <v>38991</v>
      </c>
      <c r="FK9" s="30">
        <f ca="1">DATE(YEAR(FK$1),MONTH(FK$1)+InfoM!$H6,InfoM!$I6)</f>
        <v>39022</v>
      </c>
      <c r="FL9" s="30">
        <f ca="1">DATE(YEAR(FL$1),MONTH(FL$1)+InfoM!$H6,InfoM!$I6)</f>
        <v>39052</v>
      </c>
      <c r="FM9" s="30">
        <f ca="1">DATE(YEAR(FM$1),MONTH(FM$1)+InfoM!$H6,InfoM!$I6)</f>
        <v>39083</v>
      </c>
      <c r="FN9" s="30">
        <f ca="1">DATE(YEAR(FN$1),MONTH(FN$1)+InfoM!$H6,InfoM!$I6)</f>
        <v>39114</v>
      </c>
      <c r="FO9" s="30">
        <f ca="1">DATE(YEAR(FO$1),MONTH(FO$1)+InfoM!$H6,InfoM!$I6)</f>
        <v>39142</v>
      </c>
      <c r="FP9" s="30">
        <f ca="1">DATE(YEAR(FP$1),MONTH(FP$1)+InfoM!$H6,InfoM!$I6)</f>
        <v>39173</v>
      </c>
      <c r="FQ9" s="30">
        <f ca="1">DATE(YEAR(FQ$1),MONTH(FQ$1)+InfoM!$H6,InfoM!$I6)</f>
        <v>39203</v>
      </c>
      <c r="FR9" s="30">
        <f ca="1">DATE(YEAR(FR$1),MONTH(FR$1)+InfoM!$H6,InfoM!$I6)</f>
        <v>39234</v>
      </c>
      <c r="FS9" s="30">
        <f ca="1">DATE(YEAR(FS$1),MONTH(FS$1)+InfoM!$H6,InfoM!$I6)</f>
        <v>39264</v>
      </c>
      <c r="FT9" s="30">
        <f ca="1">DATE(YEAR(FT$1),MONTH(FT$1)+InfoM!$H6,InfoM!$I6)</f>
        <v>39295</v>
      </c>
      <c r="FU9" s="30">
        <f ca="1">DATE(YEAR(FU$1),MONTH(FU$1)+InfoM!$H6,InfoM!$I6)</f>
        <v>39326</v>
      </c>
      <c r="FV9" s="30">
        <f ca="1">DATE(YEAR(FV$1),MONTH(FV$1)+InfoM!$H6,InfoM!$I6)</f>
        <v>39356</v>
      </c>
      <c r="FW9" s="30">
        <f ca="1">DATE(YEAR(FW$1),MONTH(FW$1)+InfoM!$H6,InfoM!$I6)</f>
        <v>39387</v>
      </c>
      <c r="FX9" s="30">
        <f ca="1">DATE(YEAR(FX$1),MONTH(FX$1)+InfoM!$H6,InfoM!$I6)</f>
        <v>39417</v>
      </c>
      <c r="FY9" s="30">
        <f ca="1">DATE(YEAR(FY$1),MONTH(FY$1)+InfoM!$H6,InfoM!$I6)</f>
        <v>39448</v>
      </c>
      <c r="FZ9" s="30">
        <f ca="1">DATE(YEAR(FZ$1),MONTH(FZ$1)+InfoM!$H6,InfoM!$I6)</f>
        <v>39479</v>
      </c>
      <c r="GA9" s="30">
        <f ca="1">DATE(YEAR(GA$1),MONTH(GA$1)+InfoM!$H6,InfoM!$I6)</f>
        <v>39508</v>
      </c>
      <c r="GB9" s="30">
        <f ca="1">DATE(YEAR(GB$1),MONTH(GB$1)+InfoM!$H6,InfoM!$I6)</f>
        <v>39539</v>
      </c>
      <c r="GC9" s="30">
        <f ca="1">DATE(YEAR(GC$1),MONTH(GC$1)+InfoM!$H6,InfoM!$I6)</f>
        <v>39569</v>
      </c>
      <c r="GD9" s="30">
        <f ca="1">DATE(YEAR(GD$1),MONTH(GD$1)+InfoM!$H6,InfoM!$I6)</f>
        <v>39600</v>
      </c>
      <c r="GE9" s="30">
        <f ca="1">DATE(YEAR(GE$1),MONTH(GE$1)+InfoM!$H6,InfoM!$I6)</f>
        <v>39630</v>
      </c>
      <c r="GF9" s="30">
        <f ca="1">DATE(YEAR(GF$1),MONTH(GF$1)+InfoM!$H6,InfoM!$I6)</f>
        <v>39661</v>
      </c>
      <c r="GG9" s="30">
        <f ca="1">DATE(YEAR(GG$1),MONTH(GG$1)+InfoM!$H6,InfoM!$I6)</f>
        <v>39692</v>
      </c>
      <c r="GH9" s="30">
        <f ca="1">DATE(YEAR(GH$1),MONTH(GH$1)+InfoM!$H6,InfoM!$I6)</f>
        <v>39722</v>
      </c>
      <c r="GI9" s="30">
        <f ca="1">DATE(YEAR(GI$1),MONTH(GI$1)+InfoM!$H6,InfoM!$I6)</f>
        <v>39753</v>
      </c>
      <c r="GJ9" s="30">
        <f ca="1">DATE(YEAR(GJ$1),MONTH(GJ$1)+InfoM!$H6,InfoM!$I6)</f>
        <v>39783</v>
      </c>
      <c r="GK9" s="30">
        <f ca="1">DATE(YEAR(GK$1),MONTH(GK$1)+InfoM!$H6,InfoM!$I6)</f>
        <v>39814</v>
      </c>
      <c r="GL9" s="30">
        <f ca="1">DATE(YEAR(GL$1),MONTH(GL$1)+InfoM!$H6,InfoM!$I6)</f>
        <v>39845</v>
      </c>
      <c r="GM9" s="30">
        <f ca="1">DATE(YEAR(GM$1),MONTH(GM$1)+InfoM!$H6,InfoM!$I6)</f>
        <v>39873</v>
      </c>
      <c r="GN9" s="30">
        <f ca="1">DATE(YEAR(GN$1),MONTH(GN$1)+InfoM!$H6,InfoM!$I6)</f>
        <v>39904</v>
      </c>
      <c r="GO9" s="30">
        <f ca="1">DATE(YEAR(GO$1),MONTH(GO$1)+InfoM!$H6,InfoM!$I6)</f>
        <v>39934</v>
      </c>
      <c r="GP9" s="30">
        <f ca="1">DATE(YEAR(GP$1),MONTH(GP$1)+InfoM!$H6,InfoM!$I6)</f>
        <v>39965</v>
      </c>
      <c r="GQ9" s="30">
        <f ca="1">DATE(YEAR(GQ$1),MONTH(GQ$1)+InfoM!$H6,InfoM!$I6)</f>
        <v>39995</v>
      </c>
      <c r="GR9" s="30">
        <f ca="1">DATE(YEAR(GR$1),MONTH(GR$1)+InfoM!$H6,InfoM!$I6)</f>
        <v>40026</v>
      </c>
      <c r="GS9" s="30">
        <f ca="1">DATE(YEAR(GS$1),MONTH(GS$1)+InfoM!$H6,InfoM!$I6)</f>
        <v>40057</v>
      </c>
      <c r="GT9" s="30">
        <f ca="1">DATE(YEAR(GT$1),MONTH(GT$1)+InfoM!$H6,InfoM!$I6)</f>
        <v>40087</v>
      </c>
      <c r="GU9" s="30">
        <f ca="1">DATE(YEAR(GU$1),MONTH(GU$1)+InfoM!$H6,InfoM!$I6)</f>
        <v>40118</v>
      </c>
      <c r="GV9" s="30">
        <f ca="1">DATE(YEAR(GV$1),MONTH(GV$1)+InfoM!$H6,InfoM!$I6)</f>
        <v>40148</v>
      </c>
      <c r="GW9" s="30">
        <f ca="1">DATE(YEAR(GW$1),MONTH(GW$1)+InfoM!$H6,InfoM!$I6)</f>
        <v>40179</v>
      </c>
      <c r="GX9" s="30">
        <f ca="1">DATE(YEAR(GX$1),MONTH(GX$1)+InfoM!$H6,InfoM!$I6)</f>
        <v>40210</v>
      </c>
      <c r="GY9" s="30">
        <f ca="1">DATE(YEAR(GY$1),MONTH(GY$1)+InfoM!$H6,InfoM!$I6)</f>
        <v>40238</v>
      </c>
      <c r="GZ9" s="30">
        <f ca="1">DATE(YEAR(GZ$1),MONTH(GZ$1)+InfoM!$H6,InfoM!$I6)</f>
        <v>40269</v>
      </c>
      <c r="HA9" s="30">
        <f ca="1">DATE(YEAR(HA$1),MONTH(HA$1)+InfoM!$H6,InfoM!$I6)</f>
        <v>40299</v>
      </c>
      <c r="HB9" s="30">
        <f ca="1">DATE(YEAR(HB$1),MONTH(HB$1)+InfoM!$H6,InfoM!$I6)</f>
        <v>40330</v>
      </c>
      <c r="HC9" s="30">
        <f ca="1">DATE(YEAR(HC$1),MONTH(HC$1)+InfoM!$H6,InfoM!$I6)</f>
        <v>40360</v>
      </c>
      <c r="HD9" s="30">
        <f ca="1">DATE(YEAR(HD$1),MONTH(HD$1)+InfoM!$H6,InfoM!$I6)</f>
        <v>40391</v>
      </c>
      <c r="HE9" s="30">
        <f ca="1">DATE(YEAR(HE$1),MONTH(HE$1)+InfoM!$H6,InfoM!$I6)</f>
        <v>40422</v>
      </c>
      <c r="HF9" s="30">
        <f ca="1">DATE(YEAR(HF$1),MONTH(HF$1)+InfoM!$H6,InfoM!$I6)</f>
        <v>40452</v>
      </c>
      <c r="HG9" s="30">
        <f ca="1">DATE(YEAR(HG$1),MONTH(HG$1)+InfoM!$H6,InfoM!$I6)</f>
        <v>40483</v>
      </c>
      <c r="HH9" s="30">
        <f ca="1">DATE(YEAR(HH$1),MONTH(HH$1)+InfoM!$H6,InfoM!$I6)</f>
        <v>40513</v>
      </c>
      <c r="HI9" s="30">
        <f ca="1">DATE(YEAR(HI$1),MONTH(HI$1)+InfoM!$H6,InfoM!$I6)</f>
        <v>40544</v>
      </c>
      <c r="HJ9" s="30">
        <f ca="1">DATE(YEAR(HJ$1),MONTH(HJ$1)+InfoM!$H6,InfoM!$I6)</f>
        <v>40575</v>
      </c>
      <c r="HK9" s="30">
        <f ca="1">DATE(YEAR(HK$1),MONTH(HK$1)+InfoM!$H6,InfoM!$I6)</f>
        <v>40603</v>
      </c>
      <c r="HL9" s="30">
        <f ca="1">DATE(YEAR(HL$1),MONTH(HL$1)+InfoM!$H6,InfoM!$I6)</f>
        <v>40634</v>
      </c>
      <c r="HM9" s="30">
        <f ca="1">DATE(YEAR(HM$1),MONTH(HM$1)+InfoM!$H6,InfoM!$I6)</f>
        <v>40664</v>
      </c>
      <c r="HN9" s="30">
        <f ca="1">DATE(YEAR(HN$1),MONTH(HN$1)+InfoM!$H6,InfoM!$I6)</f>
        <v>40695</v>
      </c>
      <c r="HO9" s="30">
        <f ca="1">DATE(YEAR(HO$1),MONTH(HO$1)+InfoM!$H6,InfoM!$I6)</f>
        <v>40725</v>
      </c>
      <c r="HP9" s="30">
        <f ca="1">DATE(YEAR(HP$1),MONTH(HP$1)+InfoM!$H6,InfoM!$I6)</f>
        <v>40756</v>
      </c>
      <c r="HQ9" s="30">
        <f ca="1">DATE(YEAR(HQ$1),MONTH(HQ$1)+InfoM!$H6,InfoM!$I6)</f>
        <v>40787</v>
      </c>
      <c r="HR9" s="30">
        <f ca="1">DATE(YEAR(HR$1),MONTH(HR$1)+InfoM!$H6,InfoM!$I6)</f>
        <v>40817</v>
      </c>
      <c r="HS9" s="30">
        <f ca="1">DATE(YEAR(HS$1),MONTH(HS$1)+InfoM!$H6,InfoM!$I6)</f>
        <v>40848</v>
      </c>
      <c r="HT9" s="30">
        <f ca="1">DATE(YEAR(HT$1),MONTH(HT$1)+InfoM!$H6,InfoM!$I6)</f>
        <v>40878</v>
      </c>
      <c r="HU9" s="30">
        <f ca="1">DATE(YEAR(HU$1),MONTH(HU$1)+InfoM!$H6,InfoM!$I6)</f>
        <v>40909</v>
      </c>
      <c r="HV9" s="30">
        <f ca="1">DATE(YEAR(HV$1),MONTH(HV$1)+InfoM!$H6,InfoM!$I6)</f>
        <v>40940</v>
      </c>
      <c r="HW9" s="30">
        <f ca="1">DATE(YEAR(HW$1),MONTH(HW$1)+InfoM!$H6,InfoM!$I6)</f>
        <v>40969</v>
      </c>
      <c r="HX9" s="30">
        <f ca="1">DATE(YEAR(HX$1),MONTH(HX$1)+InfoM!$H6,InfoM!$I6)</f>
        <v>41000</v>
      </c>
      <c r="HY9" s="30">
        <f ca="1">DATE(YEAR(HY$1),MONTH(HY$1)+InfoM!$H6,InfoM!$I6)</f>
        <v>41030</v>
      </c>
      <c r="HZ9" s="30">
        <f ca="1">DATE(YEAR(HZ$1),MONTH(HZ$1)+InfoM!$H6,InfoM!$I6)</f>
        <v>41061</v>
      </c>
      <c r="IA9" s="30">
        <f ca="1">DATE(YEAR(IA$1),MONTH(IA$1)+InfoM!$H6,InfoM!$I6)</f>
        <v>41091</v>
      </c>
      <c r="IB9" s="30">
        <f ca="1">DATE(YEAR(IB$1),MONTH(IB$1)+InfoM!$H6,InfoM!$I6)</f>
        <v>41122</v>
      </c>
      <c r="IC9" s="30">
        <f ca="1">DATE(YEAR(IC$1),MONTH(IC$1)+InfoM!$H6,InfoM!$I6)</f>
        <v>41153</v>
      </c>
      <c r="ID9" s="30">
        <f ca="1">DATE(YEAR(ID$1),MONTH(ID$1)+InfoM!$H6,InfoM!$I6)</f>
        <v>41183</v>
      </c>
      <c r="IE9" s="30">
        <f ca="1">DATE(YEAR(IE$1),MONTH(IE$1)+InfoM!$H6,InfoM!$I6)</f>
        <v>41214</v>
      </c>
      <c r="IF9" s="30">
        <f ca="1">DATE(YEAR(IF$1),MONTH(IF$1)+InfoM!$H6,InfoM!$I6)</f>
        <v>41244</v>
      </c>
      <c r="IG9" s="30">
        <f ca="1">DATE(YEAR(IG$1),MONTH(IG$1)+InfoM!$H6,InfoM!$I6)</f>
        <v>41275</v>
      </c>
      <c r="IH9" s="30">
        <f ca="1">DATE(YEAR(IH$1),MONTH(IH$1)+InfoM!$H6,InfoM!$I6)</f>
        <v>41306</v>
      </c>
      <c r="II9" s="30">
        <f ca="1">DATE(YEAR(II$1),MONTH(II$1)+InfoM!$H6,InfoM!$I6)</f>
        <v>41334</v>
      </c>
      <c r="IJ9" s="30">
        <f ca="1">DATE(YEAR(IJ$1),MONTH(IJ$1)+InfoM!$H6,InfoM!$I6)</f>
        <v>41365</v>
      </c>
      <c r="IK9" s="30">
        <f ca="1">DATE(YEAR(IK$1),MONTH(IK$1)+InfoM!$H6,InfoM!$I6)</f>
        <v>41395</v>
      </c>
      <c r="IL9" s="30">
        <f ca="1">DATE(YEAR(IL$1),MONTH(IL$1)+InfoM!$H6,InfoM!$I6)</f>
        <v>41426</v>
      </c>
      <c r="IM9" s="30">
        <f ca="1">DATE(YEAR(IM$1),MONTH(IM$1)+InfoM!$H6,InfoM!$I6)</f>
        <v>41456</v>
      </c>
      <c r="IN9" s="30">
        <f ca="1">DATE(YEAR(IN$1),MONTH(IN$1)+InfoM!$H6,InfoM!$I6)</f>
        <v>41487</v>
      </c>
      <c r="IO9" s="30">
        <f ca="1">DATE(YEAR(IO$1),MONTH(IO$1)+InfoM!$H6,InfoM!$I6)</f>
        <v>41518</v>
      </c>
      <c r="IP9" s="30">
        <f ca="1">DATE(YEAR(IP$1),MONTH(IP$1)+InfoM!$H6,InfoM!$I6)</f>
        <v>41548</v>
      </c>
      <c r="IQ9" s="30">
        <f ca="1">DATE(YEAR(IQ$1),MONTH(IQ$1)+InfoM!$H6,InfoM!$I6)</f>
        <v>41579</v>
      </c>
      <c r="IR9" s="30">
        <f ca="1">DATE(YEAR(IR$1),MONTH(IR$1)+InfoM!$H6,InfoM!$I6)</f>
        <v>41609</v>
      </c>
      <c r="IS9" s="30">
        <f ca="1">DATE(YEAR(IS$1),MONTH(IS$1)+InfoM!$H6,InfoM!$I6)</f>
        <v>41640</v>
      </c>
      <c r="IT9" s="30">
        <f ca="1">DATE(YEAR(IT$1),MONTH(IT$1)+InfoM!$H6,InfoM!$I6)</f>
        <v>41671</v>
      </c>
      <c r="IU9" s="30">
        <f ca="1">DATE(YEAR(IU$1),MONTH(IU$1)+InfoM!$H6,InfoM!$I6)</f>
        <v>41699</v>
      </c>
      <c r="IV9" s="30">
        <f ca="1">DATE(YEAR(IV$1),MONTH(IV$1)+InfoM!$H6,InfoM!$I6)</f>
        <v>41730</v>
      </c>
      <c r="IW9" s="30">
        <f ca="1">DATE(YEAR(IW$1),MONTH(IW$1)+InfoM!$H6,InfoM!$I6)</f>
        <v>41760</v>
      </c>
      <c r="IX9" s="30">
        <f ca="1">DATE(YEAR(IX$1),MONTH(IX$1)+InfoM!$H6,InfoM!$I6)</f>
        <v>41791</v>
      </c>
      <c r="IY9" s="30">
        <f ca="1">DATE(YEAR(IY$1),MONTH(IY$1)+InfoM!$H6,InfoM!$I6)</f>
        <v>41821</v>
      </c>
      <c r="IZ9" s="30">
        <f ca="1">DATE(YEAR(IZ$1),MONTH(IZ$1)+InfoM!$H6,InfoM!$I6)</f>
        <v>41852</v>
      </c>
      <c r="JA9" s="30">
        <f ca="1">DATE(YEAR(JA$1),MONTH(JA$1)+InfoM!$H6,InfoM!$I6)</f>
        <v>41883</v>
      </c>
      <c r="JB9" s="30">
        <f ca="1">DATE(YEAR(JB$1),MONTH(JB$1)+InfoM!$H6,InfoM!$I6)</f>
        <v>41913</v>
      </c>
      <c r="JC9" s="30">
        <f ca="1">DATE(YEAR(JC$1),MONTH(JC$1)+InfoM!$H6,InfoM!$I6)</f>
        <v>41944</v>
      </c>
      <c r="JD9" s="30">
        <f ca="1">DATE(YEAR(JD$1),MONTH(JD$1)+InfoM!$H6,InfoM!$I6)</f>
        <v>41974</v>
      </c>
      <c r="JE9" s="30">
        <f ca="1">DATE(YEAR(JE$1),MONTH(JE$1)+InfoM!$H6,InfoM!$I6)</f>
        <v>42005</v>
      </c>
      <c r="JF9" s="30">
        <f ca="1">DATE(YEAR(JF$1),MONTH(JF$1)+InfoM!$H6,InfoM!$I6)</f>
        <v>42036</v>
      </c>
      <c r="JG9" s="30">
        <f ca="1">DATE(YEAR(JG$1),MONTH(JG$1)+InfoM!$H6,InfoM!$I6)</f>
        <v>42064</v>
      </c>
      <c r="JH9" s="30">
        <f ca="1">DATE(YEAR(JH$1),MONTH(JH$1)+InfoM!$H6,InfoM!$I6)</f>
        <v>42095</v>
      </c>
      <c r="JI9" s="30">
        <f ca="1">DATE(YEAR(JI$1),MONTH(JI$1)+InfoM!$H6,InfoM!$I6)</f>
        <v>42125</v>
      </c>
      <c r="JJ9" s="30">
        <f ca="1">DATE(YEAR(JJ$1),MONTH(JJ$1)+InfoM!$H6,InfoM!$I6)</f>
        <v>42156</v>
      </c>
      <c r="JK9" s="30">
        <f ca="1">DATE(YEAR(JK$1),MONTH(JK$1)+InfoM!$H6,InfoM!$I6)</f>
        <v>42186</v>
      </c>
      <c r="JL9" s="30">
        <f ca="1">DATE(YEAR(JL$1),MONTH(JL$1)+InfoM!$H6,InfoM!$I6)</f>
        <v>42217</v>
      </c>
      <c r="JM9" s="30">
        <f ca="1">DATE(YEAR(JM$1),MONTH(JM$1)+InfoM!$H6,InfoM!$I6)</f>
        <v>42248</v>
      </c>
      <c r="JN9" s="30">
        <f ca="1">DATE(YEAR(JN$1),MONTH(JN$1)+InfoM!$H6,InfoM!$I6)</f>
        <v>42278</v>
      </c>
      <c r="JO9" s="30">
        <f ca="1">DATE(YEAR(JO$1),MONTH(JO$1)+InfoM!$H6,InfoM!$I6)</f>
        <v>42309</v>
      </c>
      <c r="JP9" s="30">
        <f ca="1">DATE(YEAR(JP$1),MONTH(JP$1)+InfoM!$H6,InfoM!$I6)</f>
        <v>42339</v>
      </c>
      <c r="JQ9" s="30">
        <f ca="1">DATE(YEAR(JQ$1),MONTH(JQ$1)+InfoM!$H6,InfoM!$I6)</f>
        <v>42370</v>
      </c>
      <c r="JR9" s="30">
        <f ca="1">DATE(YEAR(JR$1),MONTH(JR$1)+InfoM!$H6,InfoM!$I6)</f>
        <v>42401</v>
      </c>
      <c r="JS9" s="30">
        <f ca="1">DATE(YEAR(JS$1),MONTH(JS$1)+InfoM!$H6,InfoM!$I6)</f>
        <v>42430</v>
      </c>
      <c r="JT9" s="30">
        <f ca="1">DATE(YEAR(JT$1),MONTH(JT$1)+InfoM!$H6,InfoM!$I6)</f>
        <v>42461</v>
      </c>
      <c r="JU9" s="30">
        <f ca="1">DATE(YEAR(JU$1),MONTH(JU$1)+InfoM!$H6,InfoM!$I6)</f>
        <v>42491</v>
      </c>
      <c r="JV9" s="30">
        <f ca="1">DATE(YEAR(JV$1),MONTH(JV$1)+InfoM!$H6,InfoM!$I6)</f>
        <v>42522</v>
      </c>
      <c r="JW9" s="30">
        <f ca="1">DATE(YEAR(JW$1),MONTH(JW$1)+InfoM!$H6,InfoM!$I6)</f>
        <v>42552</v>
      </c>
      <c r="JX9" s="30">
        <f ca="1">DATE(YEAR(JX$1),MONTH(JX$1)+InfoM!$H6,InfoM!$I6)</f>
        <v>42583</v>
      </c>
      <c r="JY9" s="30">
        <f ca="1">DATE(YEAR(JY$1),MONTH(JY$1)+InfoM!$H6,InfoM!$I6)</f>
        <v>42614</v>
      </c>
      <c r="JZ9" s="30">
        <f ca="1">DATE(YEAR(JZ$1),MONTH(JZ$1)+InfoM!$H6,InfoM!$I6)</f>
        <v>42644</v>
      </c>
      <c r="KA9" s="30">
        <f ca="1">DATE(YEAR(KA$1),MONTH(KA$1)+InfoM!$H6,InfoM!$I6)</f>
        <v>42675</v>
      </c>
      <c r="KB9" s="30">
        <f ca="1">DATE(YEAR(KB$1),MONTH(KB$1)+InfoM!$H6,InfoM!$I6)</f>
        <v>42705</v>
      </c>
      <c r="KC9" s="30">
        <f ca="1">DATE(YEAR(KC$1),MONTH(KC$1)+InfoM!$H6,InfoM!$I6)</f>
        <v>42736</v>
      </c>
      <c r="KD9" s="30">
        <f ca="1">DATE(YEAR(KD$1),MONTH(KD$1)+InfoM!$H6,InfoM!$I6)</f>
        <v>42767</v>
      </c>
      <c r="KE9" s="30">
        <f ca="1">DATE(YEAR(KE$1),MONTH(KE$1)+InfoM!$H6,InfoM!$I6)</f>
        <v>42795</v>
      </c>
      <c r="KF9" s="30">
        <f ca="1">DATE(YEAR(KF$1),MONTH(KF$1)+InfoM!$H6,InfoM!$I6)</f>
        <v>42826</v>
      </c>
      <c r="KG9" s="30">
        <f ca="1">DATE(YEAR(KG$1),MONTH(KG$1)+InfoM!$H6,InfoM!$I6)</f>
        <v>42856</v>
      </c>
      <c r="KH9" s="30">
        <f ca="1">DATE(YEAR(KH$1),MONTH(KH$1)+InfoM!$H6,InfoM!$I6)</f>
        <v>42887</v>
      </c>
      <c r="KI9" s="30">
        <f ca="1">DATE(YEAR(KI$1),MONTH(KI$1)+InfoM!$H6,InfoM!$I6)</f>
        <v>42917</v>
      </c>
      <c r="KJ9" s="30">
        <f ca="1">DATE(YEAR(KJ$1),MONTH(KJ$1)+InfoM!$H6,InfoM!$I6)</f>
        <v>42948</v>
      </c>
      <c r="KK9" s="30">
        <f ca="1">DATE(YEAR(KK$1),MONTH(KK$1)+InfoM!$H6,InfoM!$I6)</f>
        <v>42979</v>
      </c>
      <c r="KL9" s="30">
        <f ca="1">DATE(YEAR(KL$1),MONTH(KL$1)+InfoM!$H6,InfoM!$I6)</f>
        <v>43009</v>
      </c>
      <c r="KM9" s="30">
        <f ca="1">DATE(YEAR(KM$1),MONTH(KM$1)+InfoM!$H6,InfoM!$I6)</f>
        <v>43040</v>
      </c>
      <c r="KN9" s="30">
        <f ca="1">DATE(YEAR(KN$1),MONTH(KN$1)+InfoM!$H6,InfoM!$I6)</f>
        <v>43070</v>
      </c>
      <c r="KO9" s="30">
        <f ca="1">DATE(YEAR(KO$1),MONTH(KO$1)+InfoM!$H6,InfoM!$I6)</f>
        <v>43101</v>
      </c>
      <c r="KP9" s="30">
        <f ca="1">DATE(YEAR(KP$1),MONTH(KP$1)+InfoM!$H6,InfoM!$I6)</f>
        <v>43132</v>
      </c>
      <c r="KQ9" s="30">
        <f ca="1">DATE(YEAR(KQ$1),MONTH(KQ$1)+InfoM!$H6,InfoM!$I6)</f>
        <v>43160</v>
      </c>
      <c r="KR9" s="30">
        <f ca="1">DATE(YEAR(KR$1),MONTH(KR$1)+InfoM!$H6,InfoM!$I6)</f>
        <v>43191</v>
      </c>
      <c r="KS9" s="30">
        <f ca="1">DATE(YEAR(KS$1),MONTH(KS$1)+InfoM!$H6,InfoM!$I6)</f>
        <v>43221</v>
      </c>
      <c r="KT9" s="30">
        <f ca="1">DATE(YEAR(KT$1),MONTH(KT$1)+InfoM!$H6,InfoM!$I6)</f>
        <v>43252</v>
      </c>
      <c r="KU9" s="30">
        <f ca="1">DATE(YEAR(KU$1),MONTH(KU$1)+InfoM!$H6,InfoM!$I6)</f>
        <v>43282</v>
      </c>
      <c r="KV9" s="30">
        <f ca="1">DATE(YEAR(KV$1),MONTH(KV$1)+InfoM!$H6,InfoM!$I6)</f>
        <v>43313</v>
      </c>
      <c r="KW9" s="30">
        <f ca="1">DATE(YEAR(KW$1),MONTH(KW$1)+InfoM!$H6,InfoM!$I6)</f>
        <v>43344</v>
      </c>
      <c r="KX9" s="30">
        <f ca="1">DATE(YEAR(KX$1),MONTH(KX$1)+InfoM!$H6,InfoM!$I6)</f>
        <v>43374</v>
      </c>
      <c r="KY9" s="30">
        <f ca="1">DATE(YEAR(KY$1),MONTH(KY$1)+InfoM!$H6,InfoM!$I6)</f>
        <v>43405</v>
      </c>
      <c r="KZ9" s="30">
        <f ca="1">DATE(YEAR(KZ$1),MONTH(KZ$1)+InfoM!$H6,InfoM!$I6)</f>
        <v>43435</v>
      </c>
      <c r="LA9" s="30">
        <f ca="1">DATE(YEAR(LA$1),MONTH(LA$1)+InfoM!$H6,InfoM!$I6)</f>
        <v>43466</v>
      </c>
      <c r="LB9" s="30">
        <f ca="1">DATE(YEAR(LB$1),MONTH(LB$1)+InfoM!$H6,InfoM!$I6)</f>
        <v>43497</v>
      </c>
      <c r="LC9" s="30">
        <f ca="1">DATE(YEAR(LC$1),MONTH(LC$1)+InfoM!$H6,InfoM!$I6)</f>
        <v>43525</v>
      </c>
      <c r="LD9" s="30">
        <f ca="1">DATE(YEAR(LD$1),MONTH(LD$1)+InfoM!$H6,InfoM!$I6)</f>
        <v>43556</v>
      </c>
      <c r="LE9" s="30">
        <f ca="1">DATE(YEAR(LE$1),MONTH(LE$1)+InfoM!$H6,InfoM!$I6)</f>
        <v>43586</v>
      </c>
      <c r="LF9" s="30">
        <f ca="1">DATE(YEAR(LF$1),MONTH(LF$1)+InfoM!$H6,InfoM!$I6)</f>
        <v>43617</v>
      </c>
      <c r="LG9" s="30">
        <f ca="1">DATE(YEAR(LG$1),MONTH(LG$1)+InfoM!$H6,InfoM!$I6)</f>
        <v>43647</v>
      </c>
      <c r="LH9" s="30">
        <f ca="1">DATE(YEAR(LH$1),MONTH(LH$1)+InfoM!$H6,InfoM!$I6)</f>
        <v>43678</v>
      </c>
      <c r="LI9" s="30">
        <f ca="1">DATE(YEAR(LI$1),MONTH(LI$1)+InfoM!$H6,InfoM!$I6)</f>
        <v>43709</v>
      </c>
      <c r="LJ9" s="30">
        <f ca="1">DATE(YEAR(LJ$1),MONTH(LJ$1)+InfoM!$H6,InfoM!$I6)</f>
        <v>43739</v>
      </c>
      <c r="LK9" s="30">
        <f ca="1">DATE(YEAR(LK$1),MONTH(LK$1)+InfoM!$H6,InfoM!$I6)</f>
        <v>43770</v>
      </c>
      <c r="LL9" s="30">
        <f ca="1">DATE(YEAR(LL$1),MONTH(LL$1)+InfoM!$H6,InfoM!$I6)</f>
        <v>43800</v>
      </c>
      <c r="LM9" s="30">
        <f ca="1">DATE(YEAR(LM$1),MONTH(LM$1)+InfoM!$H6,InfoM!$I6)</f>
        <v>43831</v>
      </c>
      <c r="LN9" s="30">
        <f ca="1">DATE(YEAR(LN$1),MONTH(LN$1)+InfoM!$H6,InfoM!$I6)</f>
        <v>43862</v>
      </c>
      <c r="LO9" s="30">
        <f ca="1">DATE(YEAR(LO$1),MONTH(LO$1)+InfoM!$H6,InfoM!$I6)</f>
        <v>43891</v>
      </c>
      <c r="LP9" s="30">
        <f ca="1">DATE(YEAR(LP$1),MONTH(LP$1)+InfoM!$H6,InfoM!$I6)</f>
        <v>43922</v>
      </c>
      <c r="LQ9" s="30">
        <f ca="1">DATE(YEAR(LQ$1),MONTH(LQ$1)+InfoM!$H6,InfoM!$I6)</f>
        <v>43952</v>
      </c>
      <c r="LR9" s="30">
        <f ca="1">DATE(YEAR(LR$1),MONTH(LR$1)+InfoM!$H6,InfoM!$I6)</f>
        <v>43983</v>
      </c>
      <c r="LS9" s="30">
        <f ca="1">DATE(YEAR(LS$1),MONTH(LS$1)+InfoM!$H6,InfoM!$I6)</f>
        <v>44013</v>
      </c>
      <c r="LT9" s="30">
        <f ca="1">DATE(YEAR(LT$1),MONTH(LT$1)+InfoM!$H6,InfoM!$I6)</f>
        <v>44044</v>
      </c>
      <c r="LU9" s="30">
        <f ca="1">DATE(YEAR(LU$1),MONTH(LU$1)+InfoM!$H6,InfoM!$I6)</f>
        <v>44075</v>
      </c>
      <c r="LV9" s="30">
        <f ca="1">DATE(YEAR(LV$1),MONTH(LV$1)+InfoM!$H6,InfoM!$I6)</f>
        <v>44105</v>
      </c>
      <c r="LW9" s="30">
        <f ca="1">DATE(YEAR(LW$1),MONTH(LW$1)+InfoM!$H6,InfoM!$I6)</f>
        <v>44136</v>
      </c>
      <c r="LX9" s="30">
        <f ca="1">DATE(YEAR(LX$1),MONTH(LX$1)+InfoM!$H6,InfoM!$I6)</f>
        <v>44166</v>
      </c>
      <c r="LY9" s="30">
        <f ca="1">DATE(YEAR(LY$1),MONTH(LY$1)+InfoM!$H6,InfoM!$I6)</f>
        <v>44197</v>
      </c>
      <c r="LZ9" s="30">
        <f ca="1">DATE(YEAR(LZ$1),MONTH(LZ$1)+InfoM!$H6,InfoM!$I6)</f>
        <v>44228</v>
      </c>
      <c r="MA9" s="30">
        <f ca="1">DATE(YEAR(MA$1),MONTH(MA$1)+InfoM!$H6,InfoM!$I6)</f>
        <v>44256</v>
      </c>
      <c r="MB9" s="30">
        <f ca="1">DATE(YEAR(MB$1),MONTH(MB$1)+InfoM!$H6,InfoM!$I6)</f>
        <v>44287</v>
      </c>
      <c r="MC9" s="30">
        <f ca="1">DATE(YEAR(MC$1),MONTH(MC$1)+InfoM!$H6,InfoM!$I6)</f>
        <v>44317</v>
      </c>
      <c r="MD9" s="30">
        <f ca="1">DATE(YEAR(MD$1),MONTH(MD$1)+InfoM!$H6,InfoM!$I6)</f>
        <v>44348</v>
      </c>
      <c r="ME9" s="30">
        <f ca="1">DATE(YEAR(ME$1),MONTH(ME$1)+InfoM!$H6,InfoM!$I6)</f>
        <v>44378</v>
      </c>
      <c r="MF9" s="30">
        <f ca="1">DATE(YEAR(MF$1),MONTH(MF$1)+InfoM!$H6,InfoM!$I6)</f>
        <v>44409</v>
      </c>
      <c r="MG9" s="30">
        <f ca="1">DATE(YEAR(MG$1),MONTH(MG$1)+InfoM!$H6,InfoM!$I6)</f>
        <v>44440</v>
      </c>
      <c r="MH9" s="30">
        <f ca="1">DATE(YEAR(MH$1),MONTH(MH$1)+InfoM!$H6,InfoM!$I6)</f>
        <v>44470</v>
      </c>
      <c r="MI9" s="30">
        <f ca="1">DATE(YEAR(MI$1),MONTH(MI$1)+InfoM!$H6,InfoM!$I6)</f>
        <v>44501</v>
      </c>
      <c r="MJ9" s="30">
        <f ca="1">DATE(YEAR(MJ$1),MONTH(MJ$1)+InfoM!$H6,InfoM!$I6)</f>
        <v>44531</v>
      </c>
      <c r="MK9" s="30">
        <f ca="1">DATE(YEAR(MK$1),MONTH(MK$1)+InfoM!$H6,InfoM!$I6)</f>
        <v>44562</v>
      </c>
      <c r="ML9" s="30">
        <f ca="1">DATE(YEAR(ML$1),MONTH(ML$1)+InfoM!$H6,InfoM!$I6)</f>
        <v>44593</v>
      </c>
      <c r="MM9" s="30">
        <f ca="1">DATE(YEAR(MM$1),MONTH(MM$1)+InfoM!$H6,InfoM!$I6)</f>
        <v>44621</v>
      </c>
      <c r="MN9" s="30">
        <f ca="1">DATE(YEAR(MN$1),MONTH(MN$1)+InfoM!$H6,InfoM!$I6)</f>
        <v>44652</v>
      </c>
      <c r="MO9" s="30">
        <f ca="1">DATE(YEAR(MO$1),MONTH(MO$1)+InfoM!$H6,InfoM!$I6)</f>
        <v>44682</v>
      </c>
      <c r="MP9" s="30">
        <f ca="1">DATE(YEAR(MP$1),MONTH(MP$1)+InfoM!$H6,InfoM!$I6)</f>
        <v>44713</v>
      </c>
      <c r="MQ9" s="30">
        <f ca="1">DATE(YEAR(MQ$1),MONTH(MQ$1)+InfoM!$H6,InfoM!$I6)</f>
        <v>44743</v>
      </c>
      <c r="MR9" s="30">
        <f ca="1">DATE(YEAR(MR$1),MONTH(MR$1)+InfoM!$H6,InfoM!$I6)</f>
        <v>44774</v>
      </c>
      <c r="MS9" s="30">
        <f ca="1">DATE(YEAR(MS$1),MONTH(MS$1)+InfoM!$H6,InfoM!$I6)</f>
        <v>44805</v>
      </c>
      <c r="MT9" s="30">
        <f ca="1">DATE(YEAR(MT$1),MONTH(MT$1)+InfoM!$H6,InfoM!$I6)</f>
        <v>44835</v>
      </c>
      <c r="MU9" s="30">
        <f ca="1">DATE(YEAR(MU$1),MONTH(MU$1)+InfoM!$H6,InfoM!$I6)</f>
        <v>44866</v>
      </c>
      <c r="MV9" s="30">
        <f ca="1">DATE(YEAR(MV$1),MONTH(MV$1)+InfoM!$H6,InfoM!$I6)</f>
        <v>44896</v>
      </c>
      <c r="MW9" s="30">
        <f ca="1">DATE(YEAR(MW$1),MONTH(MW$1)+InfoM!$H6,InfoM!$I6)</f>
        <v>44927</v>
      </c>
      <c r="MX9" s="30">
        <f ca="1">DATE(YEAR(MX$1),MONTH(MX$1)+InfoM!$H6,InfoM!$I6)</f>
        <v>44958</v>
      </c>
      <c r="MY9" s="30">
        <f ca="1">DATE(YEAR(MY$1),MONTH(MY$1)+InfoM!$H6,InfoM!$I6)</f>
        <v>44986</v>
      </c>
      <c r="MZ9" s="30">
        <f ca="1">DATE(YEAR(MZ$1),MONTH(MZ$1)+InfoM!$H6,InfoM!$I6)</f>
        <v>45017</v>
      </c>
      <c r="NA9" s="30">
        <f ca="1">DATE(YEAR(NA$1),MONTH(NA$1)+InfoM!$H6,InfoM!$I6)</f>
        <v>45047</v>
      </c>
      <c r="NB9" s="30">
        <f ca="1">DATE(YEAR(NB$1),MONTH(NB$1)+InfoM!$H6,InfoM!$I6)</f>
        <v>45078</v>
      </c>
      <c r="NC9" s="30">
        <f ca="1">DATE(YEAR(NC$1),MONTH(NC$1)+InfoM!$H6,InfoM!$I6)</f>
        <v>45108</v>
      </c>
      <c r="ND9" s="30">
        <f ca="1">DATE(YEAR(ND$1),MONTH(ND$1)+InfoM!$H6,InfoM!$I6)</f>
        <v>45139</v>
      </c>
      <c r="NE9" s="30">
        <f ca="1">DATE(YEAR(NE$1),MONTH(NE$1)+InfoM!$H6,InfoM!$I6)</f>
        <v>45170</v>
      </c>
      <c r="NF9" s="30">
        <f ca="1">DATE(YEAR(NF$1),MONTH(NF$1)+InfoM!$H6,InfoM!$I6)</f>
        <v>45200</v>
      </c>
      <c r="NG9" s="30">
        <f ca="1">DATE(YEAR(NG$1),MONTH(NG$1)+InfoM!$H6,InfoM!$I6)</f>
        <v>45231</v>
      </c>
      <c r="NH9" s="30">
        <f ca="1">DATE(YEAR(NH$1),MONTH(NH$1)+InfoM!$H6,InfoM!$I6)</f>
        <v>45261</v>
      </c>
      <c r="NI9" s="30">
        <f ca="1">DATE(YEAR(NI$1),MONTH(NI$1)+InfoM!$H6,InfoM!$I6)</f>
        <v>45292</v>
      </c>
      <c r="NJ9" s="30">
        <f ca="1">DATE(YEAR(NJ$1),MONTH(NJ$1)+InfoM!$H6,InfoM!$I6)</f>
        <v>45323</v>
      </c>
      <c r="NK9" s="30">
        <f ca="1">DATE(YEAR(NK$1),MONTH(NK$1)+InfoM!$H6,InfoM!$I6)</f>
        <v>45352</v>
      </c>
      <c r="NL9" s="30">
        <f ca="1">DATE(YEAR(NL$1),MONTH(NL$1)+InfoM!$H6,InfoM!$I6)</f>
        <v>45383</v>
      </c>
      <c r="NM9" s="30">
        <f ca="1">DATE(YEAR(NM$1),MONTH(NM$1)+InfoM!$H6,InfoM!$I6)</f>
        <v>45413</v>
      </c>
      <c r="NN9" s="30">
        <f ca="1">DATE(YEAR(NN$1),MONTH(NN$1)+InfoM!$H6,InfoM!$I6)</f>
        <v>45444</v>
      </c>
      <c r="NO9" s="30">
        <f ca="1">DATE(YEAR(NO$1),MONTH(NO$1)+InfoM!$H6,InfoM!$I6)</f>
        <v>45474</v>
      </c>
      <c r="NP9" s="30">
        <f ca="1">DATE(YEAR(NP$1),MONTH(NP$1)+InfoM!$H6,InfoM!$I6)</f>
        <v>45505</v>
      </c>
      <c r="NQ9" s="30">
        <f ca="1">DATE(YEAR(NQ$1),MONTH(NQ$1)+InfoM!$H6,InfoM!$I6)</f>
        <v>45536</v>
      </c>
      <c r="NR9" s="30">
        <f ca="1">DATE(YEAR(NR$1),MONTH(NR$1)+InfoM!$H6,InfoM!$I6)</f>
        <v>45566</v>
      </c>
      <c r="NS9" s="30">
        <f ca="1">DATE(YEAR(NS$1),MONTH(NS$1)+InfoM!$H6,InfoM!$I6)</f>
        <v>45597</v>
      </c>
      <c r="NT9" s="30">
        <f ca="1">DATE(YEAR(NT$1),MONTH(NT$1)+InfoM!$H6,InfoM!$I6)</f>
        <v>45627</v>
      </c>
      <c r="NU9" s="30">
        <f ca="1">DATE(YEAR(NU$1),MONTH(NU$1)+InfoM!$H6,InfoM!$I6)</f>
        <v>45658</v>
      </c>
      <c r="NV9" s="30">
        <f ca="1">DATE(YEAR(NV$1),MONTH(NV$1)+InfoM!$H6,InfoM!$I6)</f>
        <v>45689</v>
      </c>
      <c r="NW9" s="30">
        <f ca="1">DATE(YEAR(NW$1),MONTH(NW$1)+InfoM!$H6,InfoM!$I6)</f>
        <v>45717</v>
      </c>
      <c r="NX9" s="30">
        <f ca="1">DATE(YEAR(NX$1),MONTH(NX$1)+InfoM!$H6,InfoM!$I6)</f>
        <v>45748</v>
      </c>
      <c r="NY9" s="30">
        <f ca="1">DATE(YEAR(NY$1),MONTH(NY$1)+InfoM!$H6,InfoM!$I6)</f>
        <v>45778</v>
      </c>
      <c r="NZ9" s="30">
        <f ca="1">DATE(YEAR(NZ$1),MONTH(NZ$1)+InfoM!$H6,InfoM!$I6)</f>
        <v>45809</v>
      </c>
      <c r="OA9" s="30">
        <f ca="1">DATE(YEAR(OA$1),MONTH(OA$1)+InfoM!$H6,InfoM!$I6)</f>
        <v>45839</v>
      </c>
      <c r="OB9" s="30">
        <f ca="1">DATE(YEAR(OB$1),MONTH(OB$1)+InfoM!$H6,InfoM!$I6)</f>
        <v>45870</v>
      </c>
      <c r="OC9" s="30">
        <f ca="1">DATE(YEAR(OC$1),MONTH(OC$1)+InfoM!$H6,InfoM!$I6)</f>
        <v>45901</v>
      </c>
      <c r="OD9" s="30">
        <f ca="1">DATE(YEAR(OD$1),MONTH(OD$1)+InfoM!$H6,InfoM!$I6)</f>
        <v>45931</v>
      </c>
      <c r="OE9" s="30">
        <f ca="1">DATE(YEAR(OE$1),MONTH(OE$1)+InfoM!$H6,InfoM!$I6)</f>
        <v>45962</v>
      </c>
      <c r="OF9" s="30">
        <f ca="1">DATE(YEAR(OF$1),MONTH(OF$1)+InfoM!$H6,InfoM!$I6)</f>
        <v>45992</v>
      </c>
      <c r="OG9" s="30">
        <f ca="1">DATE(YEAR(OG$1),MONTH(OG$1)+InfoM!$H6,InfoM!$I6)</f>
        <v>46023</v>
      </c>
      <c r="OH9" s="30">
        <f ca="1">DATE(YEAR(OH$1),MONTH(OH$1)+InfoM!$H6,InfoM!$I6)</f>
        <v>46054</v>
      </c>
      <c r="OI9" s="30">
        <f ca="1">DATE(YEAR(OI$1),MONTH(OI$1)+InfoM!$H6,InfoM!$I6)</f>
        <v>46082</v>
      </c>
      <c r="OJ9" s="30">
        <f ca="1">DATE(YEAR(OJ$1),MONTH(OJ$1)+InfoM!$H6,InfoM!$I6)</f>
        <v>46113</v>
      </c>
      <c r="OK9" s="30">
        <f ca="1">DATE(YEAR(OK$1),MONTH(OK$1)+InfoM!$H6,InfoM!$I6)</f>
        <v>46143</v>
      </c>
      <c r="OL9" s="30">
        <f ca="1">DATE(YEAR(OL$1),MONTH(OL$1)+InfoM!$H6,InfoM!$I6)</f>
        <v>46174</v>
      </c>
      <c r="OM9" s="30">
        <f ca="1">DATE(YEAR(OM$1),MONTH(OM$1)+InfoM!$H6,InfoM!$I6)</f>
        <v>46204</v>
      </c>
      <c r="ON9" s="30">
        <f ca="1">DATE(YEAR(ON$1),MONTH(ON$1)+InfoM!$H6,InfoM!$I6)</f>
        <v>46235</v>
      </c>
      <c r="OO9" s="30">
        <f ca="1">DATE(YEAR(OO$1),MONTH(OO$1)+InfoM!$H6,InfoM!$I6)</f>
        <v>46266</v>
      </c>
      <c r="OP9" s="30">
        <f ca="1">DATE(YEAR(OP$1),MONTH(OP$1)+InfoM!$H6,InfoM!$I6)</f>
        <v>46296</v>
      </c>
      <c r="OQ9" s="30">
        <f ca="1">DATE(YEAR(OQ$1),MONTH(OQ$1)+InfoM!$H6,InfoM!$I6)</f>
        <v>46327</v>
      </c>
      <c r="OR9" s="30">
        <f ca="1">DATE(YEAR(OR$1),MONTH(OR$1)+InfoM!$H6,InfoM!$I6)</f>
        <v>46357</v>
      </c>
      <c r="OS9" s="30">
        <f ca="1">DATE(YEAR(OS$1),MONTH(OS$1)+InfoM!$H6,InfoM!$I6)</f>
        <v>46388</v>
      </c>
      <c r="OT9" s="30">
        <f ca="1">DATE(YEAR(OT$1),MONTH(OT$1)+InfoM!$H6,InfoM!$I6)</f>
        <v>46419</v>
      </c>
    </row>
    <row r="10" spans="1:410" x14ac:dyDescent="0.35">
      <c r="A10" s="19" t="str">
        <f>InfoM!A7</f>
        <v>M_con_goods</v>
      </c>
      <c r="B10">
        <f>InfoM!G7</f>
        <v>1</v>
      </c>
      <c r="C10" s="30">
        <f>DATE(YEAR(C$1),MONTH(C$1)+InfoM!$H7,InfoM!$I7)</f>
        <v>34029</v>
      </c>
      <c r="D10" s="30">
        <f ca="1">DATE(YEAR(D$1),MONTH(D$1)+InfoM!$H7,InfoM!$I7)</f>
        <v>34060</v>
      </c>
      <c r="E10" s="30">
        <f ca="1">DATE(YEAR(E$1),MONTH(E$1)+InfoM!$H7,InfoM!$I7)</f>
        <v>34090</v>
      </c>
      <c r="F10" s="30">
        <f ca="1">DATE(YEAR(F$1),MONTH(F$1)+InfoM!$H7,InfoM!$I7)</f>
        <v>34121</v>
      </c>
      <c r="G10" s="30">
        <f ca="1">DATE(YEAR(G$1),MONTH(G$1)+InfoM!$H7,InfoM!$I7)</f>
        <v>34151</v>
      </c>
      <c r="H10" s="30">
        <f ca="1">DATE(YEAR(H$1),MONTH(H$1)+InfoM!$H7,InfoM!$I7)</f>
        <v>34182</v>
      </c>
      <c r="I10" s="30">
        <f ca="1">DATE(YEAR(I$1),MONTH(I$1)+InfoM!$H7,InfoM!$I7)</f>
        <v>34213</v>
      </c>
      <c r="J10" s="30">
        <f ca="1">DATE(YEAR(J$1),MONTH(J$1)+InfoM!$H7,InfoM!$I7)</f>
        <v>34243</v>
      </c>
      <c r="K10" s="30">
        <f ca="1">DATE(YEAR(K$1),MONTH(K$1)+InfoM!$H7,InfoM!$I7)</f>
        <v>34274</v>
      </c>
      <c r="L10" s="30">
        <f ca="1">DATE(YEAR(L$1),MONTH(L$1)+InfoM!$H7,InfoM!$I7)</f>
        <v>34304</v>
      </c>
      <c r="M10" s="30">
        <f ca="1">DATE(YEAR(M$1),MONTH(M$1)+InfoM!$H7,InfoM!$I7)</f>
        <v>34335</v>
      </c>
      <c r="N10" s="30">
        <f ca="1">DATE(YEAR(N$1),MONTH(N$1)+InfoM!$H7,InfoM!$I7)</f>
        <v>34366</v>
      </c>
      <c r="O10" s="30">
        <f ca="1">DATE(YEAR(O$1),MONTH(O$1)+InfoM!$H7,InfoM!$I7)</f>
        <v>34394</v>
      </c>
      <c r="P10" s="30">
        <f ca="1">DATE(YEAR(P$1),MONTH(P$1)+InfoM!$H7,InfoM!$I7)</f>
        <v>34425</v>
      </c>
      <c r="Q10" s="30">
        <f ca="1">DATE(YEAR(Q$1),MONTH(Q$1)+InfoM!$H7,InfoM!$I7)</f>
        <v>34455</v>
      </c>
      <c r="R10" s="30">
        <f ca="1">DATE(YEAR(R$1),MONTH(R$1)+InfoM!$H7,InfoM!$I7)</f>
        <v>34486</v>
      </c>
      <c r="S10" s="30">
        <f ca="1">DATE(YEAR(S$1),MONTH(S$1)+InfoM!$H7,InfoM!$I7)</f>
        <v>34516</v>
      </c>
      <c r="T10" s="30">
        <f ca="1">DATE(YEAR(T$1),MONTH(T$1)+InfoM!$H7,InfoM!$I7)</f>
        <v>34547</v>
      </c>
      <c r="U10" s="30">
        <f ca="1">DATE(YEAR(U$1),MONTH(U$1)+InfoM!$H7,InfoM!$I7)</f>
        <v>34578</v>
      </c>
      <c r="V10" s="30">
        <f ca="1">DATE(YEAR(V$1),MONTH(V$1)+InfoM!$H7,InfoM!$I7)</f>
        <v>34608</v>
      </c>
      <c r="W10" s="30">
        <f ca="1">DATE(YEAR(W$1),MONTH(W$1)+InfoM!$H7,InfoM!$I7)</f>
        <v>34639</v>
      </c>
      <c r="X10" s="30">
        <f ca="1">DATE(YEAR(X$1),MONTH(X$1)+InfoM!$H7,InfoM!$I7)</f>
        <v>34669</v>
      </c>
      <c r="Y10" s="30">
        <f ca="1">DATE(YEAR(Y$1),MONTH(Y$1)+InfoM!$H7,InfoM!$I7)</f>
        <v>34700</v>
      </c>
      <c r="Z10" s="30">
        <f ca="1">DATE(YEAR(Z$1),MONTH(Z$1)+InfoM!$H7,InfoM!$I7)</f>
        <v>34731</v>
      </c>
      <c r="AA10" s="30">
        <f ca="1">DATE(YEAR(AA$1),MONTH(AA$1)+InfoM!$H7,InfoM!$I7)</f>
        <v>34759</v>
      </c>
      <c r="AB10" s="30">
        <f ca="1">DATE(YEAR(AB$1),MONTH(AB$1)+InfoM!$H7,InfoM!$I7)</f>
        <v>34790</v>
      </c>
      <c r="AC10" s="30">
        <f ca="1">DATE(YEAR(AC$1),MONTH(AC$1)+InfoM!$H7,InfoM!$I7)</f>
        <v>34820</v>
      </c>
      <c r="AD10" s="30">
        <f ca="1">DATE(YEAR(AD$1),MONTH(AD$1)+InfoM!$H7,InfoM!$I7)</f>
        <v>34851</v>
      </c>
      <c r="AE10" s="30">
        <f ca="1">DATE(YEAR(AE$1),MONTH(AE$1)+InfoM!$H7,InfoM!$I7)</f>
        <v>34881</v>
      </c>
      <c r="AF10" s="30">
        <f ca="1">DATE(YEAR(AF$1),MONTH(AF$1)+InfoM!$H7,InfoM!$I7)</f>
        <v>34912</v>
      </c>
      <c r="AG10" s="30">
        <f ca="1">DATE(YEAR(AG$1),MONTH(AG$1)+InfoM!$H7,InfoM!$I7)</f>
        <v>34943</v>
      </c>
      <c r="AH10" s="30">
        <f ca="1">DATE(YEAR(AH$1),MONTH(AH$1)+InfoM!$H7,InfoM!$I7)</f>
        <v>34973</v>
      </c>
      <c r="AI10" s="30">
        <f ca="1">DATE(YEAR(AI$1),MONTH(AI$1)+InfoM!$H7,InfoM!$I7)</f>
        <v>35004</v>
      </c>
      <c r="AJ10" s="30">
        <f ca="1">DATE(YEAR(AJ$1),MONTH(AJ$1)+InfoM!$H7,InfoM!$I7)</f>
        <v>35034</v>
      </c>
      <c r="AK10" s="30">
        <f ca="1">DATE(YEAR(AK$1),MONTH(AK$1)+InfoM!$H7,InfoM!$I7)</f>
        <v>35065</v>
      </c>
      <c r="AL10" s="30">
        <f ca="1">DATE(YEAR(AL$1),MONTH(AL$1)+InfoM!$H7,InfoM!$I7)</f>
        <v>35096</v>
      </c>
      <c r="AM10" s="30">
        <f ca="1">DATE(YEAR(AM$1),MONTH(AM$1)+InfoM!$H7,InfoM!$I7)</f>
        <v>35125</v>
      </c>
      <c r="AN10" s="30">
        <f ca="1">DATE(YEAR(AN$1),MONTH(AN$1)+InfoM!$H7,InfoM!$I7)</f>
        <v>35156</v>
      </c>
      <c r="AO10" s="30">
        <f ca="1">DATE(YEAR(AO$1),MONTH(AO$1)+InfoM!$H7,InfoM!$I7)</f>
        <v>35186</v>
      </c>
      <c r="AP10" s="30">
        <f ca="1">DATE(YEAR(AP$1),MONTH(AP$1)+InfoM!$H7,InfoM!$I7)</f>
        <v>35217</v>
      </c>
      <c r="AQ10" s="30">
        <f ca="1">DATE(YEAR(AQ$1),MONTH(AQ$1)+InfoM!$H7,InfoM!$I7)</f>
        <v>35247</v>
      </c>
      <c r="AR10" s="30">
        <f ca="1">DATE(YEAR(AR$1),MONTH(AR$1)+InfoM!$H7,InfoM!$I7)</f>
        <v>35278</v>
      </c>
      <c r="AS10" s="30">
        <f ca="1">DATE(YEAR(AS$1),MONTH(AS$1)+InfoM!$H7,InfoM!$I7)</f>
        <v>35309</v>
      </c>
      <c r="AT10" s="30">
        <f ca="1">DATE(YEAR(AT$1),MONTH(AT$1)+InfoM!$H7,InfoM!$I7)</f>
        <v>35339</v>
      </c>
      <c r="AU10" s="30">
        <f ca="1">DATE(YEAR(AU$1),MONTH(AU$1)+InfoM!$H7,InfoM!$I7)</f>
        <v>35370</v>
      </c>
      <c r="AV10" s="30">
        <f ca="1">DATE(YEAR(AV$1),MONTH(AV$1)+InfoM!$H7,InfoM!$I7)</f>
        <v>35400</v>
      </c>
      <c r="AW10" s="30">
        <f ca="1">DATE(YEAR(AW$1),MONTH(AW$1)+InfoM!$H7,InfoM!$I7)</f>
        <v>35431</v>
      </c>
      <c r="AX10" s="30">
        <f ca="1">DATE(YEAR(AX$1),MONTH(AX$1)+InfoM!$H7,InfoM!$I7)</f>
        <v>35462</v>
      </c>
      <c r="AY10" s="30">
        <f ca="1">DATE(YEAR(AY$1),MONTH(AY$1)+InfoM!$H7,InfoM!$I7)</f>
        <v>35490</v>
      </c>
      <c r="AZ10" s="30">
        <f ca="1">DATE(YEAR(AZ$1),MONTH(AZ$1)+InfoM!$H7,InfoM!$I7)</f>
        <v>35521</v>
      </c>
      <c r="BA10" s="30">
        <f ca="1">DATE(YEAR(BA$1),MONTH(BA$1)+InfoM!$H7,InfoM!$I7)</f>
        <v>35551</v>
      </c>
      <c r="BB10" s="30">
        <f ca="1">DATE(YEAR(BB$1),MONTH(BB$1)+InfoM!$H7,InfoM!$I7)</f>
        <v>35582</v>
      </c>
      <c r="BC10" s="30">
        <f ca="1">DATE(YEAR(BC$1),MONTH(BC$1)+InfoM!$H7,InfoM!$I7)</f>
        <v>35612</v>
      </c>
      <c r="BD10" s="30">
        <f ca="1">DATE(YEAR(BD$1),MONTH(BD$1)+InfoM!$H7,InfoM!$I7)</f>
        <v>35643</v>
      </c>
      <c r="BE10" s="30">
        <f ca="1">DATE(YEAR(BE$1),MONTH(BE$1)+InfoM!$H7,InfoM!$I7)</f>
        <v>35674</v>
      </c>
      <c r="BF10" s="30">
        <f ca="1">DATE(YEAR(BF$1),MONTH(BF$1)+InfoM!$H7,InfoM!$I7)</f>
        <v>35704</v>
      </c>
      <c r="BG10" s="30">
        <f ca="1">DATE(YEAR(BG$1),MONTH(BG$1)+InfoM!$H7,InfoM!$I7)</f>
        <v>35735</v>
      </c>
      <c r="BH10" s="30">
        <f ca="1">DATE(YEAR(BH$1),MONTH(BH$1)+InfoM!$H7,InfoM!$I7)</f>
        <v>35765</v>
      </c>
      <c r="BI10" s="30">
        <f ca="1">DATE(YEAR(BI$1),MONTH(BI$1)+InfoM!$H7,InfoM!$I7)</f>
        <v>35796</v>
      </c>
      <c r="BJ10" s="30">
        <f ca="1">DATE(YEAR(BJ$1),MONTH(BJ$1)+InfoM!$H7,InfoM!$I7)</f>
        <v>35827</v>
      </c>
      <c r="BK10" s="30">
        <f ca="1">DATE(YEAR(BK$1),MONTH(BK$1)+InfoM!$H7,InfoM!$I7)</f>
        <v>35855</v>
      </c>
      <c r="BL10" s="30">
        <f ca="1">DATE(YEAR(BL$1),MONTH(BL$1)+InfoM!$H7,InfoM!$I7)</f>
        <v>35886</v>
      </c>
      <c r="BM10" s="30">
        <f ca="1">DATE(YEAR(BM$1),MONTH(BM$1)+InfoM!$H7,InfoM!$I7)</f>
        <v>35916</v>
      </c>
      <c r="BN10" s="30">
        <f ca="1">DATE(YEAR(BN$1),MONTH(BN$1)+InfoM!$H7,InfoM!$I7)</f>
        <v>35947</v>
      </c>
      <c r="BO10" s="30">
        <f ca="1">DATE(YEAR(BO$1),MONTH(BO$1)+InfoM!$H7,InfoM!$I7)</f>
        <v>35977</v>
      </c>
      <c r="BP10" s="30">
        <f ca="1">DATE(YEAR(BP$1),MONTH(BP$1)+InfoM!$H7,InfoM!$I7)</f>
        <v>36008</v>
      </c>
      <c r="BQ10" s="30">
        <f ca="1">DATE(YEAR(BQ$1),MONTH(BQ$1)+InfoM!$H7,InfoM!$I7)</f>
        <v>36039</v>
      </c>
      <c r="BR10" s="30">
        <f ca="1">DATE(YEAR(BR$1),MONTH(BR$1)+InfoM!$H7,InfoM!$I7)</f>
        <v>36069</v>
      </c>
      <c r="BS10" s="30">
        <f ca="1">DATE(YEAR(BS$1),MONTH(BS$1)+InfoM!$H7,InfoM!$I7)</f>
        <v>36100</v>
      </c>
      <c r="BT10" s="30">
        <f ca="1">DATE(YEAR(BT$1),MONTH(BT$1)+InfoM!$H7,InfoM!$I7)</f>
        <v>36130</v>
      </c>
      <c r="BU10" s="30">
        <f ca="1">DATE(YEAR(BU$1),MONTH(BU$1)+InfoM!$H7,InfoM!$I7)</f>
        <v>36161</v>
      </c>
      <c r="BV10" s="30">
        <f ca="1">DATE(YEAR(BV$1),MONTH(BV$1)+InfoM!$H7,InfoM!$I7)</f>
        <v>36192</v>
      </c>
      <c r="BW10" s="30">
        <f ca="1">DATE(YEAR(BW$1),MONTH(BW$1)+InfoM!$H7,InfoM!$I7)</f>
        <v>36220</v>
      </c>
      <c r="BX10" s="30">
        <f ca="1">DATE(YEAR(BX$1),MONTH(BX$1)+InfoM!$H7,InfoM!$I7)</f>
        <v>36251</v>
      </c>
      <c r="BY10" s="30">
        <f ca="1">DATE(YEAR(BY$1),MONTH(BY$1)+InfoM!$H7,InfoM!$I7)</f>
        <v>36281</v>
      </c>
      <c r="BZ10" s="30">
        <f ca="1">DATE(YEAR(BZ$1),MONTH(BZ$1)+InfoM!$H7,InfoM!$I7)</f>
        <v>36312</v>
      </c>
      <c r="CA10" s="30">
        <f ca="1">DATE(YEAR(CA$1),MONTH(CA$1)+InfoM!$H7,InfoM!$I7)</f>
        <v>36342</v>
      </c>
      <c r="CB10" s="30">
        <f ca="1">DATE(YEAR(CB$1),MONTH(CB$1)+InfoM!$H7,InfoM!$I7)</f>
        <v>36373</v>
      </c>
      <c r="CC10" s="30">
        <f ca="1">DATE(YEAR(CC$1),MONTH(CC$1)+InfoM!$H7,InfoM!$I7)</f>
        <v>36404</v>
      </c>
      <c r="CD10" s="30">
        <f ca="1">DATE(YEAR(CD$1),MONTH(CD$1)+InfoM!$H7,InfoM!$I7)</f>
        <v>36434</v>
      </c>
      <c r="CE10" s="30">
        <f ca="1">DATE(YEAR(CE$1),MONTH(CE$1)+InfoM!$H7,InfoM!$I7)</f>
        <v>36465</v>
      </c>
      <c r="CF10" s="30">
        <f ca="1">DATE(YEAR(CF$1),MONTH(CF$1)+InfoM!$H7,InfoM!$I7)</f>
        <v>36495</v>
      </c>
      <c r="CG10" s="30">
        <f ca="1">DATE(YEAR(CG$1),MONTH(CG$1)+InfoM!$H7,InfoM!$I7)</f>
        <v>36526</v>
      </c>
      <c r="CH10" s="30">
        <f ca="1">DATE(YEAR(CH$1),MONTH(CH$1)+InfoM!$H7,InfoM!$I7)</f>
        <v>36557</v>
      </c>
      <c r="CI10" s="30">
        <f ca="1">DATE(YEAR(CI$1),MONTH(CI$1)+InfoM!$H7,InfoM!$I7)</f>
        <v>36586</v>
      </c>
      <c r="CJ10" s="30">
        <f ca="1">DATE(YEAR(CJ$1),MONTH(CJ$1)+InfoM!$H7,InfoM!$I7)</f>
        <v>36617</v>
      </c>
      <c r="CK10" s="30">
        <f ca="1">DATE(YEAR(CK$1),MONTH(CK$1)+InfoM!$H7,InfoM!$I7)</f>
        <v>36647</v>
      </c>
      <c r="CL10" s="30">
        <f ca="1">DATE(YEAR(CL$1),MONTH(CL$1)+InfoM!$H7,InfoM!$I7)</f>
        <v>36678</v>
      </c>
      <c r="CM10" s="30">
        <f ca="1">DATE(YEAR(CM$1),MONTH(CM$1)+InfoM!$H7,InfoM!$I7)</f>
        <v>36708</v>
      </c>
      <c r="CN10" s="30">
        <f ca="1">DATE(YEAR(CN$1),MONTH(CN$1)+InfoM!$H7,InfoM!$I7)</f>
        <v>36739</v>
      </c>
      <c r="CO10" s="30">
        <f ca="1">DATE(YEAR(CO$1),MONTH(CO$1)+InfoM!$H7,InfoM!$I7)</f>
        <v>36770</v>
      </c>
      <c r="CP10" s="30">
        <f ca="1">DATE(YEAR(CP$1),MONTH(CP$1)+InfoM!$H7,InfoM!$I7)</f>
        <v>36800</v>
      </c>
      <c r="CQ10" s="30">
        <f ca="1">DATE(YEAR(CQ$1),MONTH(CQ$1)+InfoM!$H7,InfoM!$I7)</f>
        <v>36831</v>
      </c>
      <c r="CR10" s="30">
        <f ca="1">DATE(YEAR(CR$1),MONTH(CR$1)+InfoM!$H7,InfoM!$I7)</f>
        <v>36861</v>
      </c>
      <c r="CS10" s="30">
        <f ca="1">DATE(YEAR(CS$1),MONTH(CS$1)+InfoM!$H7,InfoM!$I7)</f>
        <v>36892</v>
      </c>
      <c r="CT10" s="30">
        <f ca="1">DATE(YEAR(CT$1),MONTH(CT$1)+InfoM!$H7,InfoM!$I7)</f>
        <v>36923</v>
      </c>
      <c r="CU10" s="30">
        <f ca="1">DATE(YEAR(CU$1),MONTH(CU$1)+InfoM!$H7,InfoM!$I7)</f>
        <v>36951</v>
      </c>
      <c r="CV10" s="30">
        <f ca="1">DATE(YEAR(CV$1),MONTH(CV$1)+InfoM!$H7,InfoM!$I7)</f>
        <v>36982</v>
      </c>
      <c r="CW10" s="30">
        <f ca="1">DATE(YEAR(CW$1),MONTH(CW$1)+InfoM!$H7,InfoM!$I7)</f>
        <v>37012</v>
      </c>
      <c r="CX10" s="30">
        <f ca="1">DATE(YEAR(CX$1),MONTH(CX$1)+InfoM!$H7,InfoM!$I7)</f>
        <v>37043</v>
      </c>
      <c r="CY10" s="30">
        <f ca="1">DATE(YEAR(CY$1),MONTH(CY$1)+InfoM!$H7,InfoM!$I7)</f>
        <v>37073</v>
      </c>
      <c r="CZ10" s="30">
        <f ca="1">DATE(YEAR(CZ$1),MONTH(CZ$1)+InfoM!$H7,InfoM!$I7)</f>
        <v>37104</v>
      </c>
      <c r="DA10" s="30">
        <f ca="1">DATE(YEAR(DA$1),MONTH(DA$1)+InfoM!$H7,InfoM!$I7)</f>
        <v>37135</v>
      </c>
      <c r="DB10" s="30">
        <f ca="1">DATE(YEAR(DB$1),MONTH(DB$1)+InfoM!$H7,InfoM!$I7)</f>
        <v>37165</v>
      </c>
      <c r="DC10" s="30">
        <f ca="1">DATE(YEAR(DC$1),MONTH(DC$1)+InfoM!$H7,InfoM!$I7)</f>
        <v>37196</v>
      </c>
      <c r="DD10" s="30">
        <f ca="1">DATE(YEAR(DD$1),MONTH(DD$1)+InfoM!$H7,InfoM!$I7)</f>
        <v>37226</v>
      </c>
      <c r="DE10" s="30">
        <f ca="1">DATE(YEAR(DE$1),MONTH(DE$1)+InfoM!$H7,InfoM!$I7)</f>
        <v>37257</v>
      </c>
      <c r="DF10" s="30">
        <f ca="1">DATE(YEAR(DF$1),MONTH(DF$1)+InfoM!$H7,InfoM!$I7)</f>
        <v>37288</v>
      </c>
      <c r="DG10" s="30">
        <f ca="1">DATE(YEAR(DG$1),MONTH(DG$1)+InfoM!$H7,InfoM!$I7)</f>
        <v>37316</v>
      </c>
      <c r="DH10" s="30">
        <f ca="1">DATE(YEAR(DH$1),MONTH(DH$1)+InfoM!$H7,InfoM!$I7)</f>
        <v>37347</v>
      </c>
      <c r="DI10" s="30">
        <f ca="1">DATE(YEAR(DI$1),MONTH(DI$1)+InfoM!$H7,InfoM!$I7)</f>
        <v>37377</v>
      </c>
      <c r="DJ10" s="30">
        <f ca="1">DATE(YEAR(DJ$1),MONTH(DJ$1)+InfoM!$H7,InfoM!$I7)</f>
        <v>37408</v>
      </c>
      <c r="DK10" s="30">
        <f ca="1">DATE(YEAR(DK$1),MONTH(DK$1)+InfoM!$H7,InfoM!$I7)</f>
        <v>37438</v>
      </c>
      <c r="DL10" s="30">
        <f ca="1">DATE(YEAR(DL$1),MONTH(DL$1)+InfoM!$H7,InfoM!$I7)</f>
        <v>37469</v>
      </c>
      <c r="DM10" s="30">
        <f ca="1">DATE(YEAR(DM$1),MONTH(DM$1)+InfoM!$H7,InfoM!$I7)</f>
        <v>37500</v>
      </c>
      <c r="DN10" s="30">
        <f ca="1">DATE(YEAR(DN$1),MONTH(DN$1)+InfoM!$H7,InfoM!$I7)</f>
        <v>37530</v>
      </c>
      <c r="DO10" s="30">
        <f ca="1">DATE(YEAR(DO$1),MONTH(DO$1)+InfoM!$H7,InfoM!$I7)</f>
        <v>37561</v>
      </c>
      <c r="DP10" s="30">
        <f ca="1">DATE(YEAR(DP$1),MONTH(DP$1)+InfoM!$H7,InfoM!$I7)</f>
        <v>37591</v>
      </c>
      <c r="DQ10" s="30">
        <f ca="1">DATE(YEAR(DQ$1),MONTH(DQ$1)+InfoM!$H7,InfoM!$I7)</f>
        <v>37622</v>
      </c>
      <c r="DR10" s="30">
        <f ca="1">DATE(YEAR(DR$1),MONTH(DR$1)+InfoM!$H7,InfoM!$I7)</f>
        <v>37653</v>
      </c>
      <c r="DS10" s="30">
        <f ca="1">DATE(YEAR(DS$1),MONTH(DS$1)+InfoM!$H7,InfoM!$I7)</f>
        <v>37681</v>
      </c>
      <c r="DT10" s="30">
        <f ca="1">DATE(YEAR(DT$1),MONTH(DT$1)+InfoM!$H7,InfoM!$I7)</f>
        <v>37712</v>
      </c>
      <c r="DU10" s="30">
        <f ca="1">DATE(YEAR(DU$1),MONTH(DU$1)+InfoM!$H7,InfoM!$I7)</f>
        <v>37742</v>
      </c>
      <c r="DV10" s="30">
        <f ca="1">DATE(YEAR(DV$1),MONTH(DV$1)+InfoM!$H7,InfoM!$I7)</f>
        <v>37773</v>
      </c>
      <c r="DW10" s="30">
        <f ca="1">DATE(YEAR(DW$1),MONTH(DW$1)+InfoM!$H7,InfoM!$I7)</f>
        <v>37803</v>
      </c>
      <c r="DX10" s="30">
        <f ca="1">DATE(YEAR(DX$1),MONTH(DX$1)+InfoM!$H7,InfoM!$I7)</f>
        <v>37834</v>
      </c>
      <c r="DY10" s="30">
        <f ca="1">DATE(YEAR(DY$1),MONTH(DY$1)+InfoM!$H7,InfoM!$I7)</f>
        <v>37865</v>
      </c>
      <c r="DZ10" s="30">
        <f ca="1">DATE(YEAR(DZ$1),MONTH(DZ$1)+InfoM!$H7,InfoM!$I7)</f>
        <v>37895</v>
      </c>
      <c r="EA10" s="30">
        <f ca="1">DATE(YEAR(EA$1),MONTH(EA$1)+InfoM!$H7,InfoM!$I7)</f>
        <v>37926</v>
      </c>
      <c r="EB10" s="30">
        <f ca="1">DATE(YEAR(EB$1),MONTH(EB$1)+InfoM!$H7,InfoM!$I7)</f>
        <v>37956</v>
      </c>
      <c r="EC10" s="30">
        <f ca="1">DATE(YEAR(EC$1),MONTH(EC$1)+InfoM!$H7,InfoM!$I7)</f>
        <v>37987</v>
      </c>
      <c r="ED10" s="30">
        <f ca="1">DATE(YEAR(ED$1),MONTH(ED$1)+InfoM!$H7,InfoM!$I7)</f>
        <v>38018</v>
      </c>
      <c r="EE10" s="30">
        <f ca="1">DATE(YEAR(EE$1),MONTH(EE$1)+InfoM!$H7,InfoM!$I7)</f>
        <v>38047</v>
      </c>
      <c r="EF10" s="30">
        <f ca="1">DATE(YEAR(EF$1),MONTH(EF$1)+InfoM!$H7,InfoM!$I7)</f>
        <v>38078</v>
      </c>
      <c r="EG10" s="30">
        <f ca="1">DATE(YEAR(EG$1),MONTH(EG$1)+InfoM!$H7,InfoM!$I7)</f>
        <v>38108</v>
      </c>
      <c r="EH10" s="30">
        <f ca="1">DATE(YEAR(EH$1),MONTH(EH$1)+InfoM!$H7,InfoM!$I7)</f>
        <v>38139</v>
      </c>
      <c r="EI10" s="30">
        <f ca="1">DATE(YEAR(EI$1),MONTH(EI$1)+InfoM!$H7,InfoM!$I7)</f>
        <v>38169</v>
      </c>
      <c r="EJ10" s="30">
        <f ca="1">DATE(YEAR(EJ$1),MONTH(EJ$1)+InfoM!$H7,InfoM!$I7)</f>
        <v>38200</v>
      </c>
      <c r="EK10" s="30">
        <f ca="1">DATE(YEAR(EK$1),MONTH(EK$1)+InfoM!$H7,InfoM!$I7)</f>
        <v>38231</v>
      </c>
      <c r="EL10" s="30">
        <f ca="1">DATE(YEAR(EL$1),MONTH(EL$1)+InfoM!$H7,InfoM!$I7)</f>
        <v>38261</v>
      </c>
      <c r="EM10" s="30">
        <f ca="1">DATE(YEAR(EM$1),MONTH(EM$1)+InfoM!$H7,InfoM!$I7)</f>
        <v>38292</v>
      </c>
      <c r="EN10" s="30">
        <f ca="1">DATE(YEAR(EN$1),MONTH(EN$1)+InfoM!$H7,InfoM!$I7)</f>
        <v>38322</v>
      </c>
      <c r="EO10" s="30">
        <f ca="1">DATE(YEAR(EO$1),MONTH(EO$1)+InfoM!$H7,InfoM!$I7)</f>
        <v>38353</v>
      </c>
      <c r="EP10" s="30">
        <f ca="1">DATE(YEAR(EP$1),MONTH(EP$1)+InfoM!$H7,InfoM!$I7)</f>
        <v>38384</v>
      </c>
      <c r="EQ10" s="30">
        <f ca="1">DATE(YEAR(EQ$1),MONTH(EQ$1)+InfoM!$H7,InfoM!$I7)</f>
        <v>38412</v>
      </c>
      <c r="ER10" s="30">
        <f ca="1">DATE(YEAR(ER$1),MONTH(ER$1)+InfoM!$H7,InfoM!$I7)</f>
        <v>38443</v>
      </c>
      <c r="ES10" s="30">
        <f ca="1">DATE(YEAR(ES$1),MONTH(ES$1)+InfoM!$H7,InfoM!$I7)</f>
        <v>38473</v>
      </c>
      <c r="ET10" s="30">
        <f ca="1">DATE(YEAR(ET$1),MONTH(ET$1)+InfoM!$H7,InfoM!$I7)</f>
        <v>38504</v>
      </c>
      <c r="EU10" s="30">
        <f ca="1">DATE(YEAR(EU$1),MONTH(EU$1)+InfoM!$H7,InfoM!$I7)</f>
        <v>38534</v>
      </c>
      <c r="EV10" s="30">
        <f ca="1">DATE(YEAR(EV$1),MONTH(EV$1)+InfoM!$H7,InfoM!$I7)</f>
        <v>38565</v>
      </c>
      <c r="EW10" s="30">
        <f ca="1">DATE(YEAR(EW$1),MONTH(EW$1)+InfoM!$H7,InfoM!$I7)</f>
        <v>38596</v>
      </c>
      <c r="EX10" s="30">
        <f ca="1">DATE(YEAR(EX$1),MONTH(EX$1)+InfoM!$H7,InfoM!$I7)</f>
        <v>38626</v>
      </c>
      <c r="EY10" s="30">
        <f ca="1">DATE(YEAR(EY$1),MONTH(EY$1)+InfoM!$H7,InfoM!$I7)</f>
        <v>38657</v>
      </c>
      <c r="EZ10" s="30">
        <f ca="1">DATE(YEAR(EZ$1),MONTH(EZ$1)+InfoM!$H7,InfoM!$I7)</f>
        <v>38687</v>
      </c>
      <c r="FA10" s="30">
        <f ca="1">DATE(YEAR(FA$1),MONTH(FA$1)+InfoM!$H7,InfoM!$I7)</f>
        <v>38718</v>
      </c>
      <c r="FB10" s="30">
        <f ca="1">DATE(YEAR(FB$1),MONTH(FB$1)+InfoM!$H7,InfoM!$I7)</f>
        <v>38749</v>
      </c>
      <c r="FC10" s="30">
        <f ca="1">DATE(YEAR(FC$1),MONTH(FC$1)+InfoM!$H7,InfoM!$I7)</f>
        <v>38777</v>
      </c>
      <c r="FD10" s="30">
        <f ca="1">DATE(YEAR(FD$1),MONTH(FD$1)+InfoM!$H7,InfoM!$I7)</f>
        <v>38808</v>
      </c>
      <c r="FE10" s="30">
        <f ca="1">DATE(YEAR(FE$1),MONTH(FE$1)+InfoM!$H7,InfoM!$I7)</f>
        <v>38838</v>
      </c>
      <c r="FF10" s="30">
        <f ca="1">DATE(YEAR(FF$1),MONTH(FF$1)+InfoM!$H7,InfoM!$I7)</f>
        <v>38869</v>
      </c>
      <c r="FG10" s="30">
        <f ca="1">DATE(YEAR(FG$1),MONTH(FG$1)+InfoM!$H7,InfoM!$I7)</f>
        <v>38899</v>
      </c>
      <c r="FH10" s="30">
        <f ca="1">DATE(YEAR(FH$1),MONTH(FH$1)+InfoM!$H7,InfoM!$I7)</f>
        <v>38930</v>
      </c>
      <c r="FI10" s="30">
        <f ca="1">DATE(YEAR(FI$1),MONTH(FI$1)+InfoM!$H7,InfoM!$I7)</f>
        <v>38961</v>
      </c>
      <c r="FJ10" s="30">
        <f ca="1">DATE(YEAR(FJ$1),MONTH(FJ$1)+InfoM!$H7,InfoM!$I7)</f>
        <v>38991</v>
      </c>
      <c r="FK10" s="30">
        <f ca="1">DATE(YEAR(FK$1),MONTH(FK$1)+InfoM!$H7,InfoM!$I7)</f>
        <v>39022</v>
      </c>
      <c r="FL10" s="30">
        <f ca="1">DATE(YEAR(FL$1),MONTH(FL$1)+InfoM!$H7,InfoM!$I7)</f>
        <v>39052</v>
      </c>
      <c r="FM10" s="30">
        <f ca="1">DATE(YEAR(FM$1),MONTH(FM$1)+InfoM!$H7,InfoM!$I7)</f>
        <v>39083</v>
      </c>
      <c r="FN10" s="30">
        <f ca="1">DATE(YEAR(FN$1),MONTH(FN$1)+InfoM!$H7,InfoM!$I7)</f>
        <v>39114</v>
      </c>
      <c r="FO10" s="30">
        <f ca="1">DATE(YEAR(FO$1),MONTH(FO$1)+InfoM!$H7,InfoM!$I7)</f>
        <v>39142</v>
      </c>
      <c r="FP10" s="30">
        <f ca="1">DATE(YEAR(FP$1),MONTH(FP$1)+InfoM!$H7,InfoM!$I7)</f>
        <v>39173</v>
      </c>
      <c r="FQ10" s="30">
        <f ca="1">DATE(YEAR(FQ$1),MONTH(FQ$1)+InfoM!$H7,InfoM!$I7)</f>
        <v>39203</v>
      </c>
      <c r="FR10" s="30">
        <f ca="1">DATE(YEAR(FR$1),MONTH(FR$1)+InfoM!$H7,InfoM!$I7)</f>
        <v>39234</v>
      </c>
      <c r="FS10" s="30">
        <f ca="1">DATE(YEAR(FS$1),MONTH(FS$1)+InfoM!$H7,InfoM!$I7)</f>
        <v>39264</v>
      </c>
      <c r="FT10" s="30">
        <f ca="1">DATE(YEAR(FT$1),MONTH(FT$1)+InfoM!$H7,InfoM!$I7)</f>
        <v>39295</v>
      </c>
      <c r="FU10" s="30">
        <f ca="1">DATE(YEAR(FU$1),MONTH(FU$1)+InfoM!$H7,InfoM!$I7)</f>
        <v>39326</v>
      </c>
      <c r="FV10" s="30">
        <f ca="1">DATE(YEAR(FV$1),MONTH(FV$1)+InfoM!$H7,InfoM!$I7)</f>
        <v>39356</v>
      </c>
      <c r="FW10" s="30">
        <f ca="1">DATE(YEAR(FW$1),MONTH(FW$1)+InfoM!$H7,InfoM!$I7)</f>
        <v>39387</v>
      </c>
      <c r="FX10" s="30">
        <f ca="1">DATE(YEAR(FX$1),MONTH(FX$1)+InfoM!$H7,InfoM!$I7)</f>
        <v>39417</v>
      </c>
      <c r="FY10" s="30">
        <f ca="1">DATE(YEAR(FY$1),MONTH(FY$1)+InfoM!$H7,InfoM!$I7)</f>
        <v>39448</v>
      </c>
      <c r="FZ10" s="30">
        <f ca="1">DATE(YEAR(FZ$1),MONTH(FZ$1)+InfoM!$H7,InfoM!$I7)</f>
        <v>39479</v>
      </c>
      <c r="GA10" s="30">
        <f ca="1">DATE(YEAR(GA$1),MONTH(GA$1)+InfoM!$H7,InfoM!$I7)</f>
        <v>39508</v>
      </c>
      <c r="GB10" s="30">
        <f ca="1">DATE(YEAR(GB$1),MONTH(GB$1)+InfoM!$H7,InfoM!$I7)</f>
        <v>39539</v>
      </c>
      <c r="GC10" s="30">
        <f ca="1">DATE(YEAR(GC$1),MONTH(GC$1)+InfoM!$H7,InfoM!$I7)</f>
        <v>39569</v>
      </c>
      <c r="GD10" s="30">
        <f ca="1">DATE(YEAR(GD$1),MONTH(GD$1)+InfoM!$H7,InfoM!$I7)</f>
        <v>39600</v>
      </c>
      <c r="GE10" s="30">
        <f ca="1">DATE(YEAR(GE$1),MONTH(GE$1)+InfoM!$H7,InfoM!$I7)</f>
        <v>39630</v>
      </c>
      <c r="GF10" s="30">
        <f ca="1">DATE(YEAR(GF$1),MONTH(GF$1)+InfoM!$H7,InfoM!$I7)</f>
        <v>39661</v>
      </c>
      <c r="GG10" s="30">
        <f ca="1">DATE(YEAR(GG$1),MONTH(GG$1)+InfoM!$H7,InfoM!$I7)</f>
        <v>39692</v>
      </c>
      <c r="GH10" s="30">
        <f ca="1">DATE(YEAR(GH$1),MONTH(GH$1)+InfoM!$H7,InfoM!$I7)</f>
        <v>39722</v>
      </c>
      <c r="GI10" s="30">
        <f ca="1">DATE(YEAR(GI$1),MONTH(GI$1)+InfoM!$H7,InfoM!$I7)</f>
        <v>39753</v>
      </c>
      <c r="GJ10" s="30">
        <f ca="1">DATE(YEAR(GJ$1),MONTH(GJ$1)+InfoM!$H7,InfoM!$I7)</f>
        <v>39783</v>
      </c>
      <c r="GK10" s="30">
        <f ca="1">DATE(YEAR(GK$1),MONTH(GK$1)+InfoM!$H7,InfoM!$I7)</f>
        <v>39814</v>
      </c>
      <c r="GL10" s="30">
        <f ca="1">DATE(YEAR(GL$1),MONTH(GL$1)+InfoM!$H7,InfoM!$I7)</f>
        <v>39845</v>
      </c>
      <c r="GM10" s="30">
        <f ca="1">DATE(YEAR(GM$1),MONTH(GM$1)+InfoM!$H7,InfoM!$I7)</f>
        <v>39873</v>
      </c>
      <c r="GN10" s="30">
        <f ca="1">DATE(YEAR(GN$1),MONTH(GN$1)+InfoM!$H7,InfoM!$I7)</f>
        <v>39904</v>
      </c>
      <c r="GO10" s="30">
        <f ca="1">DATE(YEAR(GO$1),MONTH(GO$1)+InfoM!$H7,InfoM!$I7)</f>
        <v>39934</v>
      </c>
      <c r="GP10" s="30">
        <f ca="1">DATE(YEAR(GP$1),MONTH(GP$1)+InfoM!$H7,InfoM!$I7)</f>
        <v>39965</v>
      </c>
      <c r="GQ10" s="30">
        <f ca="1">DATE(YEAR(GQ$1),MONTH(GQ$1)+InfoM!$H7,InfoM!$I7)</f>
        <v>39995</v>
      </c>
      <c r="GR10" s="30">
        <f ca="1">DATE(YEAR(GR$1),MONTH(GR$1)+InfoM!$H7,InfoM!$I7)</f>
        <v>40026</v>
      </c>
      <c r="GS10" s="30">
        <f ca="1">DATE(YEAR(GS$1),MONTH(GS$1)+InfoM!$H7,InfoM!$I7)</f>
        <v>40057</v>
      </c>
      <c r="GT10" s="30">
        <f ca="1">DATE(YEAR(GT$1),MONTH(GT$1)+InfoM!$H7,InfoM!$I7)</f>
        <v>40087</v>
      </c>
      <c r="GU10" s="30">
        <f ca="1">DATE(YEAR(GU$1),MONTH(GU$1)+InfoM!$H7,InfoM!$I7)</f>
        <v>40118</v>
      </c>
      <c r="GV10" s="30">
        <f ca="1">DATE(YEAR(GV$1),MONTH(GV$1)+InfoM!$H7,InfoM!$I7)</f>
        <v>40148</v>
      </c>
      <c r="GW10" s="30">
        <f ca="1">DATE(YEAR(GW$1),MONTH(GW$1)+InfoM!$H7,InfoM!$I7)</f>
        <v>40179</v>
      </c>
      <c r="GX10" s="30">
        <f ca="1">DATE(YEAR(GX$1),MONTH(GX$1)+InfoM!$H7,InfoM!$I7)</f>
        <v>40210</v>
      </c>
      <c r="GY10" s="30">
        <f ca="1">DATE(YEAR(GY$1),MONTH(GY$1)+InfoM!$H7,InfoM!$I7)</f>
        <v>40238</v>
      </c>
      <c r="GZ10" s="30">
        <f ca="1">DATE(YEAR(GZ$1),MONTH(GZ$1)+InfoM!$H7,InfoM!$I7)</f>
        <v>40269</v>
      </c>
      <c r="HA10" s="30">
        <f ca="1">DATE(YEAR(HA$1),MONTH(HA$1)+InfoM!$H7,InfoM!$I7)</f>
        <v>40299</v>
      </c>
      <c r="HB10" s="30">
        <f ca="1">DATE(YEAR(HB$1),MONTH(HB$1)+InfoM!$H7,InfoM!$I7)</f>
        <v>40330</v>
      </c>
      <c r="HC10" s="30">
        <f ca="1">DATE(YEAR(HC$1),MONTH(HC$1)+InfoM!$H7,InfoM!$I7)</f>
        <v>40360</v>
      </c>
      <c r="HD10" s="30">
        <f ca="1">DATE(YEAR(HD$1),MONTH(HD$1)+InfoM!$H7,InfoM!$I7)</f>
        <v>40391</v>
      </c>
      <c r="HE10" s="30">
        <f ca="1">DATE(YEAR(HE$1),MONTH(HE$1)+InfoM!$H7,InfoM!$I7)</f>
        <v>40422</v>
      </c>
      <c r="HF10" s="30">
        <f ca="1">DATE(YEAR(HF$1),MONTH(HF$1)+InfoM!$H7,InfoM!$I7)</f>
        <v>40452</v>
      </c>
      <c r="HG10" s="30">
        <f ca="1">DATE(YEAR(HG$1),MONTH(HG$1)+InfoM!$H7,InfoM!$I7)</f>
        <v>40483</v>
      </c>
      <c r="HH10" s="30">
        <f ca="1">DATE(YEAR(HH$1),MONTH(HH$1)+InfoM!$H7,InfoM!$I7)</f>
        <v>40513</v>
      </c>
      <c r="HI10" s="30">
        <f ca="1">DATE(YEAR(HI$1),MONTH(HI$1)+InfoM!$H7,InfoM!$I7)</f>
        <v>40544</v>
      </c>
      <c r="HJ10" s="30">
        <f ca="1">DATE(YEAR(HJ$1),MONTH(HJ$1)+InfoM!$H7,InfoM!$I7)</f>
        <v>40575</v>
      </c>
      <c r="HK10" s="30">
        <f ca="1">DATE(YEAR(HK$1),MONTH(HK$1)+InfoM!$H7,InfoM!$I7)</f>
        <v>40603</v>
      </c>
      <c r="HL10" s="30">
        <f ca="1">DATE(YEAR(HL$1),MONTH(HL$1)+InfoM!$H7,InfoM!$I7)</f>
        <v>40634</v>
      </c>
      <c r="HM10" s="30">
        <f ca="1">DATE(YEAR(HM$1),MONTH(HM$1)+InfoM!$H7,InfoM!$I7)</f>
        <v>40664</v>
      </c>
      <c r="HN10" s="30">
        <f ca="1">DATE(YEAR(HN$1),MONTH(HN$1)+InfoM!$H7,InfoM!$I7)</f>
        <v>40695</v>
      </c>
      <c r="HO10" s="30">
        <f ca="1">DATE(YEAR(HO$1),MONTH(HO$1)+InfoM!$H7,InfoM!$I7)</f>
        <v>40725</v>
      </c>
      <c r="HP10" s="30">
        <f ca="1">DATE(YEAR(HP$1),MONTH(HP$1)+InfoM!$H7,InfoM!$I7)</f>
        <v>40756</v>
      </c>
      <c r="HQ10" s="30">
        <f ca="1">DATE(YEAR(HQ$1),MONTH(HQ$1)+InfoM!$H7,InfoM!$I7)</f>
        <v>40787</v>
      </c>
      <c r="HR10" s="30">
        <f ca="1">DATE(YEAR(HR$1),MONTH(HR$1)+InfoM!$H7,InfoM!$I7)</f>
        <v>40817</v>
      </c>
      <c r="HS10" s="30">
        <f ca="1">DATE(YEAR(HS$1),MONTH(HS$1)+InfoM!$H7,InfoM!$I7)</f>
        <v>40848</v>
      </c>
      <c r="HT10" s="30">
        <f ca="1">DATE(YEAR(HT$1),MONTH(HT$1)+InfoM!$H7,InfoM!$I7)</f>
        <v>40878</v>
      </c>
      <c r="HU10" s="30">
        <f ca="1">DATE(YEAR(HU$1),MONTH(HU$1)+InfoM!$H7,InfoM!$I7)</f>
        <v>40909</v>
      </c>
      <c r="HV10" s="30">
        <f ca="1">DATE(YEAR(HV$1),MONTH(HV$1)+InfoM!$H7,InfoM!$I7)</f>
        <v>40940</v>
      </c>
      <c r="HW10" s="30">
        <f ca="1">DATE(YEAR(HW$1),MONTH(HW$1)+InfoM!$H7,InfoM!$I7)</f>
        <v>40969</v>
      </c>
      <c r="HX10" s="30">
        <f ca="1">DATE(YEAR(HX$1),MONTH(HX$1)+InfoM!$H7,InfoM!$I7)</f>
        <v>41000</v>
      </c>
      <c r="HY10" s="30">
        <f ca="1">DATE(YEAR(HY$1),MONTH(HY$1)+InfoM!$H7,InfoM!$I7)</f>
        <v>41030</v>
      </c>
      <c r="HZ10" s="30">
        <f ca="1">DATE(YEAR(HZ$1),MONTH(HZ$1)+InfoM!$H7,InfoM!$I7)</f>
        <v>41061</v>
      </c>
      <c r="IA10" s="30">
        <f ca="1">DATE(YEAR(IA$1),MONTH(IA$1)+InfoM!$H7,InfoM!$I7)</f>
        <v>41091</v>
      </c>
      <c r="IB10" s="30">
        <f ca="1">DATE(YEAR(IB$1),MONTH(IB$1)+InfoM!$H7,InfoM!$I7)</f>
        <v>41122</v>
      </c>
      <c r="IC10" s="30">
        <f ca="1">DATE(YEAR(IC$1),MONTH(IC$1)+InfoM!$H7,InfoM!$I7)</f>
        <v>41153</v>
      </c>
      <c r="ID10" s="30">
        <f ca="1">DATE(YEAR(ID$1),MONTH(ID$1)+InfoM!$H7,InfoM!$I7)</f>
        <v>41183</v>
      </c>
      <c r="IE10" s="30">
        <f ca="1">DATE(YEAR(IE$1),MONTH(IE$1)+InfoM!$H7,InfoM!$I7)</f>
        <v>41214</v>
      </c>
      <c r="IF10" s="30">
        <f ca="1">DATE(YEAR(IF$1),MONTH(IF$1)+InfoM!$H7,InfoM!$I7)</f>
        <v>41244</v>
      </c>
      <c r="IG10" s="30">
        <f ca="1">DATE(YEAR(IG$1),MONTH(IG$1)+InfoM!$H7,InfoM!$I7)</f>
        <v>41275</v>
      </c>
      <c r="IH10" s="30">
        <f ca="1">DATE(YEAR(IH$1),MONTH(IH$1)+InfoM!$H7,InfoM!$I7)</f>
        <v>41306</v>
      </c>
      <c r="II10" s="30">
        <f ca="1">DATE(YEAR(II$1),MONTH(II$1)+InfoM!$H7,InfoM!$I7)</f>
        <v>41334</v>
      </c>
      <c r="IJ10" s="30">
        <f ca="1">DATE(YEAR(IJ$1),MONTH(IJ$1)+InfoM!$H7,InfoM!$I7)</f>
        <v>41365</v>
      </c>
      <c r="IK10" s="30">
        <f ca="1">DATE(YEAR(IK$1),MONTH(IK$1)+InfoM!$H7,InfoM!$I7)</f>
        <v>41395</v>
      </c>
      <c r="IL10" s="30">
        <f ca="1">DATE(YEAR(IL$1),MONTH(IL$1)+InfoM!$H7,InfoM!$I7)</f>
        <v>41426</v>
      </c>
      <c r="IM10" s="30">
        <f ca="1">DATE(YEAR(IM$1),MONTH(IM$1)+InfoM!$H7,InfoM!$I7)</f>
        <v>41456</v>
      </c>
      <c r="IN10" s="30">
        <f ca="1">DATE(YEAR(IN$1),MONTH(IN$1)+InfoM!$H7,InfoM!$I7)</f>
        <v>41487</v>
      </c>
      <c r="IO10" s="30">
        <f ca="1">DATE(YEAR(IO$1),MONTH(IO$1)+InfoM!$H7,InfoM!$I7)</f>
        <v>41518</v>
      </c>
      <c r="IP10" s="30">
        <f ca="1">DATE(YEAR(IP$1),MONTH(IP$1)+InfoM!$H7,InfoM!$I7)</f>
        <v>41548</v>
      </c>
      <c r="IQ10" s="30">
        <f ca="1">DATE(YEAR(IQ$1),MONTH(IQ$1)+InfoM!$H7,InfoM!$I7)</f>
        <v>41579</v>
      </c>
      <c r="IR10" s="30">
        <f ca="1">DATE(YEAR(IR$1),MONTH(IR$1)+InfoM!$H7,InfoM!$I7)</f>
        <v>41609</v>
      </c>
      <c r="IS10" s="30">
        <f ca="1">DATE(YEAR(IS$1),MONTH(IS$1)+InfoM!$H7,InfoM!$I7)</f>
        <v>41640</v>
      </c>
      <c r="IT10" s="30">
        <f ca="1">DATE(YEAR(IT$1),MONTH(IT$1)+InfoM!$H7,InfoM!$I7)</f>
        <v>41671</v>
      </c>
      <c r="IU10" s="30">
        <f ca="1">DATE(YEAR(IU$1),MONTH(IU$1)+InfoM!$H7,InfoM!$I7)</f>
        <v>41699</v>
      </c>
      <c r="IV10" s="30">
        <f ca="1">DATE(YEAR(IV$1),MONTH(IV$1)+InfoM!$H7,InfoM!$I7)</f>
        <v>41730</v>
      </c>
      <c r="IW10" s="30">
        <f ca="1">DATE(YEAR(IW$1),MONTH(IW$1)+InfoM!$H7,InfoM!$I7)</f>
        <v>41760</v>
      </c>
      <c r="IX10" s="30">
        <f ca="1">DATE(YEAR(IX$1),MONTH(IX$1)+InfoM!$H7,InfoM!$I7)</f>
        <v>41791</v>
      </c>
      <c r="IY10" s="30">
        <f ca="1">DATE(YEAR(IY$1),MONTH(IY$1)+InfoM!$H7,InfoM!$I7)</f>
        <v>41821</v>
      </c>
      <c r="IZ10" s="30">
        <f ca="1">DATE(YEAR(IZ$1),MONTH(IZ$1)+InfoM!$H7,InfoM!$I7)</f>
        <v>41852</v>
      </c>
      <c r="JA10" s="30">
        <f ca="1">DATE(YEAR(JA$1),MONTH(JA$1)+InfoM!$H7,InfoM!$I7)</f>
        <v>41883</v>
      </c>
      <c r="JB10" s="30">
        <f ca="1">DATE(YEAR(JB$1),MONTH(JB$1)+InfoM!$H7,InfoM!$I7)</f>
        <v>41913</v>
      </c>
      <c r="JC10" s="30">
        <f ca="1">DATE(YEAR(JC$1),MONTH(JC$1)+InfoM!$H7,InfoM!$I7)</f>
        <v>41944</v>
      </c>
      <c r="JD10" s="30">
        <f ca="1">DATE(YEAR(JD$1),MONTH(JD$1)+InfoM!$H7,InfoM!$I7)</f>
        <v>41974</v>
      </c>
      <c r="JE10" s="30">
        <f ca="1">DATE(YEAR(JE$1),MONTH(JE$1)+InfoM!$H7,InfoM!$I7)</f>
        <v>42005</v>
      </c>
      <c r="JF10" s="30">
        <f ca="1">DATE(YEAR(JF$1),MONTH(JF$1)+InfoM!$H7,InfoM!$I7)</f>
        <v>42036</v>
      </c>
      <c r="JG10" s="30">
        <f ca="1">DATE(YEAR(JG$1),MONTH(JG$1)+InfoM!$H7,InfoM!$I7)</f>
        <v>42064</v>
      </c>
      <c r="JH10" s="30">
        <f ca="1">DATE(YEAR(JH$1),MONTH(JH$1)+InfoM!$H7,InfoM!$I7)</f>
        <v>42095</v>
      </c>
      <c r="JI10" s="30">
        <f ca="1">DATE(YEAR(JI$1),MONTH(JI$1)+InfoM!$H7,InfoM!$I7)</f>
        <v>42125</v>
      </c>
      <c r="JJ10" s="30">
        <f ca="1">DATE(YEAR(JJ$1),MONTH(JJ$1)+InfoM!$H7,InfoM!$I7)</f>
        <v>42156</v>
      </c>
      <c r="JK10" s="30">
        <f ca="1">DATE(YEAR(JK$1),MONTH(JK$1)+InfoM!$H7,InfoM!$I7)</f>
        <v>42186</v>
      </c>
      <c r="JL10" s="30">
        <f ca="1">DATE(YEAR(JL$1),MONTH(JL$1)+InfoM!$H7,InfoM!$I7)</f>
        <v>42217</v>
      </c>
      <c r="JM10" s="30">
        <f ca="1">DATE(YEAR(JM$1),MONTH(JM$1)+InfoM!$H7,InfoM!$I7)</f>
        <v>42248</v>
      </c>
      <c r="JN10" s="30">
        <f ca="1">DATE(YEAR(JN$1),MONTH(JN$1)+InfoM!$H7,InfoM!$I7)</f>
        <v>42278</v>
      </c>
      <c r="JO10" s="30">
        <f ca="1">DATE(YEAR(JO$1),MONTH(JO$1)+InfoM!$H7,InfoM!$I7)</f>
        <v>42309</v>
      </c>
      <c r="JP10" s="30">
        <f ca="1">DATE(YEAR(JP$1),MONTH(JP$1)+InfoM!$H7,InfoM!$I7)</f>
        <v>42339</v>
      </c>
      <c r="JQ10" s="30">
        <f ca="1">DATE(YEAR(JQ$1),MONTH(JQ$1)+InfoM!$H7,InfoM!$I7)</f>
        <v>42370</v>
      </c>
      <c r="JR10" s="30">
        <f ca="1">DATE(YEAR(JR$1),MONTH(JR$1)+InfoM!$H7,InfoM!$I7)</f>
        <v>42401</v>
      </c>
      <c r="JS10" s="30">
        <f ca="1">DATE(YEAR(JS$1),MONTH(JS$1)+InfoM!$H7,InfoM!$I7)</f>
        <v>42430</v>
      </c>
      <c r="JT10" s="30">
        <f ca="1">DATE(YEAR(JT$1),MONTH(JT$1)+InfoM!$H7,InfoM!$I7)</f>
        <v>42461</v>
      </c>
      <c r="JU10" s="30">
        <f ca="1">DATE(YEAR(JU$1),MONTH(JU$1)+InfoM!$H7,InfoM!$I7)</f>
        <v>42491</v>
      </c>
      <c r="JV10" s="30">
        <f ca="1">DATE(YEAR(JV$1),MONTH(JV$1)+InfoM!$H7,InfoM!$I7)</f>
        <v>42522</v>
      </c>
      <c r="JW10" s="30">
        <f ca="1">DATE(YEAR(JW$1),MONTH(JW$1)+InfoM!$H7,InfoM!$I7)</f>
        <v>42552</v>
      </c>
      <c r="JX10" s="30">
        <f ca="1">DATE(YEAR(JX$1),MONTH(JX$1)+InfoM!$H7,InfoM!$I7)</f>
        <v>42583</v>
      </c>
      <c r="JY10" s="30">
        <f ca="1">DATE(YEAR(JY$1),MONTH(JY$1)+InfoM!$H7,InfoM!$I7)</f>
        <v>42614</v>
      </c>
      <c r="JZ10" s="30">
        <f ca="1">DATE(YEAR(JZ$1),MONTH(JZ$1)+InfoM!$H7,InfoM!$I7)</f>
        <v>42644</v>
      </c>
      <c r="KA10" s="30">
        <f ca="1">DATE(YEAR(KA$1),MONTH(KA$1)+InfoM!$H7,InfoM!$I7)</f>
        <v>42675</v>
      </c>
      <c r="KB10" s="30">
        <f ca="1">DATE(YEAR(KB$1),MONTH(KB$1)+InfoM!$H7,InfoM!$I7)</f>
        <v>42705</v>
      </c>
      <c r="KC10" s="30">
        <f ca="1">DATE(YEAR(KC$1),MONTH(KC$1)+InfoM!$H7,InfoM!$I7)</f>
        <v>42736</v>
      </c>
      <c r="KD10" s="30">
        <f ca="1">DATE(YEAR(KD$1),MONTH(KD$1)+InfoM!$H7,InfoM!$I7)</f>
        <v>42767</v>
      </c>
      <c r="KE10" s="30">
        <f ca="1">DATE(YEAR(KE$1),MONTH(KE$1)+InfoM!$H7,InfoM!$I7)</f>
        <v>42795</v>
      </c>
      <c r="KF10" s="30">
        <f ca="1">DATE(YEAR(KF$1),MONTH(KF$1)+InfoM!$H7,InfoM!$I7)</f>
        <v>42826</v>
      </c>
      <c r="KG10" s="30">
        <f ca="1">DATE(YEAR(KG$1),MONTH(KG$1)+InfoM!$H7,InfoM!$I7)</f>
        <v>42856</v>
      </c>
      <c r="KH10" s="30">
        <f ca="1">DATE(YEAR(KH$1),MONTH(KH$1)+InfoM!$H7,InfoM!$I7)</f>
        <v>42887</v>
      </c>
      <c r="KI10" s="30">
        <f ca="1">DATE(YEAR(KI$1),MONTH(KI$1)+InfoM!$H7,InfoM!$I7)</f>
        <v>42917</v>
      </c>
      <c r="KJ10" s="30">
        <f ca="1">DATE(YEAR(KJ$1),MONTH(KJ$1)+InfoM!$H7,InfoM!$I7)</f>
        <v>42948</v>
      </c>
      <c r="KK10" s="30">
        <f ca="1">DATE(YEAR(KK$1),MONTH(KK$1)+InfoM!$H7,InfoM!$I7)</f>
        <v>42979</v>
      </c>
      <c r="KL10" s="30">
        <f ca="1">DATE(YEAR(KL$1),MONTH(KL$1)+InfoM!$H7,InfoM!$I7)</f>
        <v>43009</v>
      </c>
      <c r="KM10" s="30">
        <f ca="1">DATE(YEAR(KM$1),MONTH(KM$1)+InfoM!$H7,InfoM!$I7)</f>
        <v>43040</v>
      </c>
      <c r="KN10" s="30">
        <f ca="1">DATE(YEAR(KN$1),MONTH(KN$1)+InfoM!$H7,InfoM!$I7)</f>
        <v>43070</v>
      </c>
      <c r="KO10" s="30">
        <f ca="1">DATE(YEAR(KO$1),MONTH(KO$1)+InfoM!$H7,InfoM!$I7)</f>
        <v>43101</v>
      </c>
      <c r="KP10" s="30">
        <f ca="1">DATE(YEAR(KP$1),MONTH(KP$1)+InfoM!$H7,InfoM!$I7)</f>
        <v>43132</v>
      </c>
      <c r="KQ10" s="30">
        <f ca="1">DATE(YEAR(KQ$1),MONTH(KQ$1)+InfoM!$H7,InfoM!$I7)</f>
        <v>43160</v>
      </c>
      <c r="KR10" s="30">
        <f ca="1">DATE(YEAR(KR$1),MONTH(KR$1)+InfoM!$H7,InfoM!$I7)</f>
        <v>43191</v>
      </c>
      <c r="KS10" s="30">
        <f ca="1">DATE(YEAR(KS$1),MONTH(KS$1)+InfoM!$H7,InfoM!$I7)</f>
        <v>43221</v>
      </c>
      <c r="KT10" s="30">
        <f ca="1">DATE(YEAR(KT$1),MONTH(KT$1)+InfoM!$H7,InfoM!$I7)</f>
        <v>43252</v>
      </c>
      <c r="KU10" s="30">
        <f ca="1">DATE(YEAR(KU$1),MONTH(KU$1)+InfoM!$H7,InfoM!$I7)</f>
        <v>43282</v>
      </c>
      <c r="KV10" s="30">
        <f ca="1">DATE(YEAR(KV$1),MONTH(KV$1)+InfoM!$H7,InfoM!$I7)</f>
        <v>43313</v>
      </c>
      <c r="KW10" s="30">
        <f ca="1">DATE(YEAR(KW$1),MONTH(KW$1)+InfoM!$H7,InfoM!$I7)</f>
        <v>43344</v>
      </c>
      <c r="KX10" s="30">
        <f ca="1">DATE(YEAR(KX$1),MONTH(KX$1)+InfoM!$H7,InfoM!$I7)</f>
        <v>43374</v>
      </c>
      <c r="KY10" s="30">
        <f ca="1">DATE(YEAR(KY$1),MONTH(KY$1)+InfoM!$H7,InfoM!$I7)</f>
        <v>43405</v>
      </c>
      <c r="KZ10" s="30">
        <f ca="1">DATE(YEAR(KZ$1),MONTH(KZ$1)+InfoM!$H7,InfoM!$I7)</f>
        <v>43435</v>
      </c>
      <c r="LA10" s="30">
        <f ca="1">DATE(YEAR(LA$1),MONTH(LA$1)+InfoM!$H7,InfoM!$I7)</f>
        <v>43466</v>
      </c>
      <c r="LB10" s="30">
        <f ca="1">DATE(YEAR(LB$1),MONTH(LB$1)+InfoM!$H7,InfoM!$I7)</f>
        <v>43497</v>
      </c>
      <c r="LC10" s="30">
        <f ca="1">DATE(YEAR(LC$1),MONTH(LC$1)+InfoM!$H7,InfoM!$I7)</f>
        <v>43525</v>
      </c>
      <c r="LD10" s="30">
        <f ca="1">DATE(YEAR(LD$1),MONTH(LD$1)+InfoM!$H7,InfoM!$I7)</f>
        <v>43556</v>
      </c>
      <c r="LE10" s="30">
        <f ca="1">DATE(YEAR(LE$1),MONTH(LE$1)+InfoM!$H7,InfoM!$I7)</f>
        <v>43586</v>
      </c>
      <c r="LF10" s="30">
        <f ca="1">DATE(YEAR(LF$1),MONTH(LF$1)+InfoM!$H7,InfoM!$I7)</f>
        <v>43617</v>
      </c>
      <c r="LG10" s="30">
        <f ca="1">DATE(YEAR(LG$1),MONTH(LG$1)+InfoM!$H7,InfoM!$I7)</f>
        <v>43647</v>
      </c>
      <c r="LH10" s="30">
        <f ca="1">DATE(YEAR(LH$1),MONTH(LH$1)+InfoM!$H7,InfoM!$I7)</f>
        <v>43678</v>
      </c>
      <c r="LI10" s="30">
        <f ca="1">DATE(YEAR(LI$1),MONTH(LI$1)+InfoM!$H7,InfoM!$I7)</f>
        <v>43709</v>
      </c>
      <c r="LJ10" s="30">
        <f ca="1">DATE(YEAR(LJ$1),MONTH(LJ$1)+InfoM!$H7,InfoM!$I7)</f>
        <v>43739</v>
      </c>
      <c r="LK10" s="30">
        <f ca="1">DATE(YEAR(LK$1),MONTH(LK$1)+InfoM!$H7,InfoM!$I7)</f>
        <v>43770</v>
      </c>
      <c r="LL10" s="30">
        <f ca="1">DATE(YEAR(LL$1),MONTH(LL$1)+InfoM!$H7,InfoM!$I7)</f>
        <v>43800</v>
      </c>
      <c r="LM10" s="30">
        <f ca="1">DATE(YEAR(LM$1),MONTH(LM$1)+InfoM!$H7,InfoM!$I7)</f>
        <v>43831</v>
      </c>
      <c r="LN10" s="30">
        <f ca="1">DATE(YEAR(LN$1),MONTH(LN$1)+InfoM!$H7,InfoM!$I7)</f>
        <v>43862</v>
      </c>
      <c r="LO10" s="30">
        <f ca="1">DATE(YEAR(LO$1),MONTH(LO$1)+InfoM!$H7,InfoM!$I7)</f>
        <v>43891</v>
      </c>
      <c r="LP10" s="30">
        <f ca="1">DATE(YEAR(LP$1),MONTH(LP$1)+InfoM!$H7,InfoM!$I7)</f>
        <v>43922</v>
      </c>
      <c r="LQ10" s="30">
        <f ca="1">DATE(YEAR(LQ$1),MONTH(LQ$1)+InfoM!$H7,InfoM!$I7)</f>
        <v>43952</v>
      </c>
      <c r="LR10" s="30">
        <f ca="1">DATE(YEAR(LR$1),MONTH(LR$1)+InfoM!$H7,InfoM!$I7)</f>
        <v>43983</v>
      </c>
      <c r="LS10" s="30">
        <f ca="1">DATE(YEAR(LS$1),MONTH(LS$1)+InfoM!$H7,InfoM!$I7)</f>
        <v>44013</v>
      </c>
      <c r="LT10" s="30">
        <f ca="1">DATE(YEAR(LT$1),MONTH(LT$1)+InfoM!$H7,InfoM!$I7)</f>
        <v>44044</v>
      </c>
      <c r="LU10" s="30">
        <f ca="1">DATE(YEAR(LU$1),MONTH(LU$1)+InfoM!$H7,InfoM!$I7)</f>
        <v>44075</v>
      </c>
      <c r="LV10" s="30">
        <f ca="1">DATE(YEAR(LV$1),MONTH(LV$1)+InfoM!$H7,InfoM!$I7)</f>
        <v>44105</v>
      </c>
      <c r="LW10" s="30">
        <f ca="1">DATE(YEAR(LW$1),MONTH(LW$1)+InfoM!$H7,InfoM!$I7)</f>
        <v>44136</v>
      </c>
      <c r="LX10" s="30">
        <f ca="1">DATE(YEAR(LX$1),MONTH(LX$1)+InfoM!$H7,InfoM!$I7)</f>
        <v>44166</v>
      </c>
      <c r="LY10" s="30">
        <f ca="1">DATE(YEAR(LY$1),MONTH(LY$1)+InfoM!$H7,InfoM!$I7)</f>
        <v>44197</v>
      </c>
      <c r="LZ10" s="30">
        <f ca="1">DATE(YEAR(LZ$1),MONTH(LZ$1)+InfoM!$H7,InfoM!$I7)</f>
        <v>44228</v>
      </c>
      <c r="MA10" s="30">
        <f ca="1">DATE(YEAR(MA$1),MONTH(MA$1)+InfoM!$H7,InfoM!$I7)</f>
        <v>44256</v>
      </c>
      <c r="MB10" s="30">
        <f ca="1">DATE(YEAR(MB$1),MONTH(MB$1)+InfoM!$H7,InfoM!$I7)</f>
        <v>44287</v>
      </c>
      <c r="MC10" s="30">
        <f ca="1">DATE(YEAR(MC$1),MONTH(MC$1)+InfoM!$H7,InfoM!$I7)</f>
        <v>44317</v>
      </c>
      <c r="MD10" s="30">
        <f ca="1">DATE(YEAR(MD$1),MONTH(MD$1)+InfoM!$H7,InfoM!$I7)</f>
        <v>44348</v>
      </c>
      <c r="ME10" s="30">
        <f ca="1">DATE(YEAR(ME$1),MONTH(ME$1)+InfoM!$H7,InfoM!$I7)</f>
        <v>44378</v>
      </c>
      <c r="MF10" s="30">
        <f ca="1">DATE(YEAR(MF$1),MONTH(MF$1)+InfoM!$H7,InfoM!$I7)</f>
        <v>44409</v>
      </c>
      <c r="MG10" s="30">
        <f ca="1">DATE(YEAR(MG$1),MONTH(MG$1)+InfoM!$H7,InfoM!$I7)</f>
        <v>44440</v>
      </c>
      <c r="MH10" s="30">
        <f ca="1">DATE(YEAR(MH$1),MONTH(MH$1)+InfoM!$H7,InfoM!$I7)</f>
        <v>44470</v>
      </c>
      <c r="MI10" s="30">
        <f ca="1">DATE(YEAR(MI$1),MONTH(MI$1)+InfoM!$H7,InfoM!$I7)</f>
        <v>44501</v>
      </c>
      <c r="MJ10" s="30">
        <f ca="1">DATE(YEAR(MJ$1),MONTH(MJ$1)+InfoM!$H7,InfoM!$I7)</f>
        <v>44531</v>
      </c>
      <c r="MK10" s="30">
        <f ca="1">DATE(YEAR(MK$1),MONTH(MK$1)+InfoM!$H7,InfoM!$I7)</f>
        <v>44562</v>
      </c>
      <c r="ML10" s="30">
        <f ca="1">DATE(YEAR(ML$1),MONTH(ML$1)+InfoM!$H7,InfoM!$I7)</f>
        <v>44593</v>
      </c>
      <c r="MM10" s="30">
        <f ca="1">DATE(YEAR(MM$1),MONTH(MM$1)+InfoM!$H7,InfoM!$I7)</f>
        <v>44621</v>
      </c>
      <c r="MN10" s="30">
        <f ca="1">DATE(YEAR(MN$1),MONTH(MN$1)+InfoM!$H7,InfoM!$I7)</f>
        <v>44652</v>
      </c>
      <c r="MO10" s="30">
        <f ca="1">DATE(YEAR(MO$1),MONTH(MO$1)+InfoM!$H7,InfoM!$I7)</f>
        <v>44682</v>
      </c>
      <c r="MP10" s="30">
        <f ca="1">DATE(YEAR(MP$1),MONTH(MP$1)+InfoM!$H7,InfoM!$I7)</f>
        <v>44713</v>
      </c>
      <c r="MQ10" s="30">
        <f ca="1">DATE(YEAR(MQ$1),MONTH(MQ$1)+InfoM!$H7,InfoM!$I7)</f>
        <v>44743</v>
      </c>
      <c r="MR10" s="30">
        <f ca="1">DATE(YEAR(MR$1),MONTH(MR$1)+InfoM!$H7,InfoM!$I7)</f>
        <v>44774</v>
      </c>
      <c r="MS10" s="30">
        <f ca="1">DATE(YEAR(MS$1),MONTH(MS$1)+InfoM!$H7,InfoM!$I7)</f>
        <v>44805</v>
      </c>
      <c r="MT10" s="30">
        <f ca="1">DATE(YEAR(MT$1),MONTH(MT$1)+InfoM!$H7,InfoM!$I7)</f>
        <v>44835</v>
      </c>
      <c r="MU10" s="30">
        <f ca="1">DATE(YEAR(MU$1),MONTH(MU$1)+InfoM!$H7,InfoM!$I7)</f>
        <v>44866</v>
      </c>
      <c r="MV10" s="30">
        <f ca="1">DATE(YEAR(MV$1),MONTH(MV$1)+InfoM!$H7,InfoM!$I7)</f>
        <v>44896</v>
      </c>
      <c r="MW10" s="30">
        <f ca="1">DATE(YEAR(MW$1),MONTH(MW$1)+InfoM!$H7,InfoM!$I7)</f>
        <v>44927</v>
      </c>
      <c r="MX10" s="30">
        <f ca="1">DATE(YEAR(MX$1),MONTH(MX$1)+InfoM!$H7,InfoM!$I7)</f>
        <v>44958</v>
      </c>
      <c r="MY10" s="30">
        <f ca="1">DATE(YEAR(MY$1),MONTH(MY$1)+InfoM!$H7,InfoM!$I7)</f>
        <v>44986</v>
      </c>
      <c r="MZ10" s="30">
        <f ca="1">DATE(YEAR(MZ$1),MONTH(MZ$1)+InfoM!$H7,InfoM!$I7)</f>
        <v>45017</v>
      </c>
      <c r="NA10" s="30">
        <f ca="1">DATE(YEAR(NA$1),MONTH(NA$1)+InfoM!$H7,InfoM!$I7)</f>
        <v>45047</v>
      </c>
      <c r="NB10" s="30">
        <f ca="1">DATE(YEAR(NB$1),MONTH(NB$1)+InfoM!$H7,InfoM!$I7)</f>
        <v>45078</v>
      </c>
      <c r="NC10" s="30">
        <f ca="1">DATE(YEAR(NC$1),MONTH(NC$1)+InfoM!$H7,InfoM!$I7)</f>
        <v>45108</v>
      </c>
      <c r="ND10" s="30">
        <f ca="1">DATE(YEAR(ND$1),MONTH(ND$1)+InfoM!$H7,InfoM!$I7)</f>
        <v>45139</v>
      </c>
      <c r="NE10" s="30">
        <f ca="1">DATE(YEAR(NE$1),MONTH(NE$1)+InfoM!$H7,InfoM!$I7)</f>
        <v>45170</v>
      </c>
      <c r="NF10" s="30">
        <f ca="1">DATE(YEAR(NF$1),MONTH(NF$1)+InfoM!$H7,InfoM!$I7)</f>
        <v>45200</v>
      </c>
      <c r="NG10" s="30">
        <f ca="1">DATE(YEAR(NG$1),MONTH(NG$1)+InfoM!$H7,InfoM!$I7)</f>
        <v>45231</v>
      </c>
      <c r="NH10" s="30">
        <f ca="1">DATE(YEAR(NH$1),MONTH(NH$1)+InfoM!$H7,InfoM!$I7)</f>
        <v>45261</v>
      </c>
      <c r="NI10" s="30">
        <f ca="1">DATE(YEAR(NI$1),MONTH(NI$1)+InfoM!$H7,InfoM!$I7)</f>
        <v>45292</v>
      </c>
      <c r="NJ10" s="30">
        <f ca="1">DATE(YEAR(NJ$1),MONTH(NJ$1)+InfoM!$H7,InfoM!$I7)</f>
        <v>45323</v>
      </c>
      <c r="NK10" s="30">
        <f ca="1">DATE(YEAR(NK$1),MONTH(NK$1)+InfoM!$H7,InfoM!$I7)</f>
        <v>45352</v>
      </c>
      <c r="NL10" s="30">
        <f ca="1">DATE(YEAR(NL$1),MONTH(NL$1)+InfoM!$H7,InfoM!$I7)</f>
        <v>45383</v>
      </c>
      <c r="NM10" s="30">
        <f ca="1">DATE(YEAR(NM$1),MONTH(NM$1)+InfoM!$H7,InfoM!$I7)</f>
        <v>45413</v>
      </c>
      <c r="NN10" s="30">
        <f ca="1">DATE(YEAR(NN$1),MONTH(NN$1)+InfoM!$H7,InfoM!$I7)</f>
        <v>45444</v>
      </c>
      <c r="NO10" s="30">
        <f ca="1">DATE(YEAR(NO$1),MONTH(NO$1)+InfoM!$H7,InfoM!$I7)</f>
        <v>45474</v>
      </c>
      <c r="NP10" s="30">
        <f ca="1">DATE(YEAR(NP$1),MONTH(NP$1)+InfoM!$H7,InfoM!$I7)</f>
        <v>45505</v>
      </c>
      <c r="NQ10" s="30">
        <f ca="1">DATE(YEAR(NQ$1),MONTH(NQ$1)+InfoM!$H7,InfoM!$I7)</f>
        <v>45536</v>
      </c>
      <c r="NR10" s="30">
        <f ca="1">DATE(YEAR(NR$1),MONTH(NR$1)+InfoM!$H7,InfoM!$I7)</f>
        <v>45566</v>
      </c>
      <c r="NS10" s="30">
        <f ca="1">DATE(YEAR(NS$1),MONTH(NS$1)+InfoM!$H7,InfoM!$I7)</f>
        <v>45597</v>
      </c>
      <c r="NT10" s="30">
        <f ca="1">DATE(YEAR(NT$1),MONTH(NT$1)+InfoM!$H7,InfoM!$I7)</f>
        <v>45627</v>
      </c>
      <c r="NU10" s="30">
        <f ca="1">DATE(YEAR(NU$1),MONTH(NU$1)+InfoM!$H7,InfoM!$I7)</f>
        <v>45658</v>
      </c>
      <c r="NV10" s="30">
        <f ca="1">DATE(YEAR(NV$1),MONTH(NV$1)+InfoM!$H7,InfoM!$I7)</f>
        <v>45689</v>
      </c>
      <c r="NW10" s="30">
        <f ca="1">DATE(YEAR(NW$1),MONTH(NW$1)+InfoM!$H7,InfoM!$I7)</f>
        <v>45717</v>
      </c>
      <c r="NX10" s="30">
        <f ca="1">DATE(YEAR(NX$1),MONTH(NX$1)+InfoM!$H7,InfoM!$I7)</f>
        <v>45748</v>
      </c>
      <c r="NY10" s="30">
        <f ca="1">DATE(YEAR(NY$1),MONTH(NY$1)+InfoM!$H7,InfoM!$I7)</f>
        <v>45778</v>
      </c>
      <c r="NZ10" s="30">
        <f ca="1">DATE(YEAR(NZ$1),MONTH(NZ$1)+InfoM!$H7,InfoM!$I7)</f>
        <v>45809</v>
      </c>
      <c r="OA10" s="30">
        <f ca="1">DATE(YEAR(OA$1),MONTH(OA$1)+InfoM!$H7,InfoM!$I7)</f>
        <v>45839</v>
      </c>
      <c r="OB10" s="30">
        <f ca="1">DATE(YEAR(OB$1),MONTH(OB$1)+InfoM!$H7,InfoM!$I7)</f>
        <v>45870</v>
      </c>
      <c r="OC10" s="30">
        <f ca="1">DATE(YEAR(OC$1),MONTH(OC$1)+InfoM!$H7,InfoM!$I7)</f>
        <v>45901</v>
      </c>
      <c r="OD10" s="30">
        <f ca="1">DATE(YEAR(OD$1),MONTH(OD$1)+InfoM!$H7,InfoM!$I7)</f>
        <v>45931</v>
      </c>
      <c r="OE10" s="30">
        <f ca="1">DATE(YEAR(OE$1),MONTH(OE$1)+InfoM!$H7,InfoM!$I7)</f>
        <v>45962</v>
      </c>
      <c r="OF10" s="30">
        <f ca="1">DATE(YEAR(OF$1),MONTH(OF$1)+InfoM!$H7,InfoM!$I7)</f>
        <v>45992</v>
      </c>
      <c r="OG10" s="30">
        <f ca="1">DATE(YEAR(OG$1),MONTH(OG$1)+InfoM!$H7,InfoM!$I7)</f>
        <v>46023</v>
      </c>
      <c r="OH10" s="30">
        <f ca="1">DATE(YEAR(OH$1),MONTH(OH$1)+InfoM!$H7,InfoM!$I7)</f>
        <v>46054</v>
      </c>
      <c r="OI10" s="30">
        <f ca="1">DATE(YEAR(OI$1),MONTH(OI$1)+InfoM!$H7,InfoM!$I7)</f>
        <v>46082</v>
      </c>
      <c r="OJ10" s="30">
        <f ca="1">DATE(YEAR(OJ$1),MONTH(OJ$1)+InfoM!$H7,InfoM!$I7)</f>
        <v>46113</v>
      </c>
      <c r="OK10" s="30">
        <f ca="1">DATE(YEAR(OK$1),MONTH(OK$1)+InfoM!$H7,InfoM!$I7)</f>
        <v>46143</v>
      </c>
      <c r="OL10" s="30">
        <f ca="1">DATE(YEAR(OL$1),MONTH(OL$1)+InfoM!$H7,InfoM!$I7)</f>
        <v>46174</v>
      </c>
      <c r="OM10" s="30">
        <f ca="1">DATE(YEAR(OM$1),MONTH(OM$1)+InfoM!$H7,InfoM!$I7)</f>
        <v>46204</v>
      </c>
      <c r="ON10" s="30">
        <f ca="1">DATE(YEAR(ON$1),MONTH(ON$1)+InfoM!$H7,InfoM!$I7)</f>
        <v>46235</v>
      </c>
      <c r="OO10" s="30">
        <f ca="1">DATE(YEAR(OO$1),MONTH(OO$1)+InfoM!$H7,InfoM!$I7)</f>
        <v>46266</v>
      </c>
      <c r="OP10" s="30">
        <f ca="1">DATE(YEAR(OP$1),MONTH(OP$1)+InfoM!$H7,InfoM!$I7)</f>
        <v>46296</v>
      </c>
      <c r="OQ10" s="30">
        <f ca="1">DATE(YEAR(OQ$1),MONTH(OQ$1)+InfoM!$H7,InfoM!$I7)</f>
        <v>46327</v>
      </c>
      <c r="OR10" s="30">
        <f ca="1">DATE(YEAR(OR$1),MONTH(OR$1)+InfoM!$H7,InfoM!$I7)</f>
        <v>46357</v>
      </c>
      <c r="OS10" s="30">
        <f ca="1">DATE(YEAR(OS$1),MONTH(OS$1)+InfoM!$H7,InfoM!$I7)</f>
        <v>46388</v>
      </c>
      <c r="OT10" s="30">
        <f ca="1">DATE(YEAR(OT$1),MONTH(OT$1)+InfoM!$H7,InfoM!$I7)</f>
        <v>46419</v>
      </c>
    </row>
    <row r="11" spans="1:410" x14ac:dyDescent="0.35">
      <c r="A11" s="19" t="str">
        <f>InfoM!A8</f>
        <v>M_cap_goods</v>
      </c>
      <c r="B11">
        <f>InfoM!G8</f>
        <v>1</v>
      </c>
      <c r="C11" s="30">
        <f>DATE(YEAR(C$1),MONTH(C$1)+InfoM!$H8,InfoM!$I8)</f>
        <v>34029</v>
      </c>
      <c r="D11" s="30">
        <f ca="1">DATE(YEAR(D$1),MONTH(D$1)+InfoM!$H8,InfoM!$I8)</f>
        <v>34060</v>
      </c>
      <c r="E11" s="30">
        <f ca="1">DATE(YEAR(E$1),MONTH(E$1)+InfoM!$H8,InfoM!$I8)</f>
        <v>34090</v>
      </c>
      <c r="F11" s="30">
        <f ca="1">DATE(YEAR(F$1),MONTH(F$1)+InfoM!$H8,InfoM!$I8)</f>
        <v>34121</v>
      </c>
      <c r="G11" s="30">
        <f ca="1">DATE(YEAR(G$1),MONTH(G$1)+InfoM!$H8,InfoM!$I8)</f>
        <v>34151</v>
      </c>
      <c r="H11" s="30">
        <f ca="1">DATE(YEAR(H$1),MONTH(H$1)+InfoM!$H8,InfoM!$I8)</f>
        <v>34182</v>
      </c>
      <c r="I11" s="30">
        <f ca="1">DATE(YEAR(I$1),MONTH(I$1)+InfoM!$H8,InfoM!$I8)</f>
        <v>34213</v>
      </c>
      <c r="J11" s="30">
        <f ca="1">DATE(YEAR(J$1),MONTH(J$1)+InfoM!$H8,InfoM!$I8)</f>
        <v>34243</v>
      </c>
      <c r="K11" s="30">
        <f ca="1">DATE(YEAR(K$1),MONTH(K$1)+InfoM!$H8,InfoM!$I8)</f>
        <v>34274</v>
      </c>
      <c r="L11" s="30">
        <f ca="1">DATE(YEAR(L$1),MONTH(L$1)+InfoM!$H8,InfoM!$I8)</f>
        <v>34304</v>
      </c>
      <c r="M11" s="30">
        <f ca="1">DATE(YEAR(M$1),MONTH(M$1)+InfoM!$H8,InfoM!$I8)</f>
        <v>34335</v>
      </c>
      <c r="N11" s="30">
        <f ca="1">DATE(YEAR(N$1),MONTH(N$1)+InfoM!$H8,InfoM!$I8)</f>
        <v>34366</v>
      </c>
      <c r="O11" s="30">
        <f ca="1">DATE(YEAR(O$1),MONTH(O$1)+InfoM!$H8,InfoM!$I8)</f>
        <v>34394</v>
      </c>
      <c r="P11" s="30">
        <f ca="1">DATE(YEAR(P$1),MONTH(P$1)+InfoM!$H8,InfoM!$I8)</f>
        <v>34425</v>
      </c>
      <c r="Q11" s="30">
        <f ca="1">DATE(YEAR(Q$1),MONTH(Q$1)+InfoM!$H8,InfoM!$I8)</f>
        <v>34455</v>
      </c>
      <c r="R11" s="30">
        <f ca="1">DATE(YEAR(R$1),MONTH(R$1)+InfoM!$H8,InfoM!$I8)</f>
        <v>34486</v>
      </c>
      <c r="S11" s="30">
        <f ca="1">DATE(YEAR(S$1),MONTH(S$1)+InfoM!$H8,InfoM!$I8)</f>
        <v>34516</v>
      </c>
      <c r="T11" s="30">
        <f ca="1">DATE(YEAR(T$1),MONTH(T$1)+InfoM!$H8,InfoM!$I8)</f>
        <v>34547</v>
      </c>
      <c r="U11" s="30">
        <f ca="1">DATE(YEAR(U$1),MONTH(U$1)+InfoM!$H8,InfoM!$I8)</f>
        <v>34578</v>
      </c>
      <c r="V11" s="30">
        <f ca="1">DATE(YEAR(V$1),MONTH(V$1)+InfoM!$H8,InfoM!$I8)</f>
        <v>34608</v>
      </c>
      <c r="W11" s="30">
        <f ca="1">DATE(YEAR(W$1),MONTH(W$1)+InfoM!$H8,InfoM!$I8)</f>
        <v>34639</v>
      </c>
      <c r="X11" s="30">
        <f ca="1">DATE(YEAR(X$1),MONTH(X$1)+InfoM!$H8,InfoM!$I8)</f>
        <v>34669</v>
      </c>
      <c r="Y11" s="30">
        <f ca="1">DATE(YEAR(Y$1),MONTH(Y$1)+InfoM!$H8,InfoM!$I8)</f>
        <v>34700</v>
      </c>
      <c r="Z11" s="30">
        <f ca="1">DATE(YEAR(Z$1),MONTH(Z$1)+InfoM!$H8,InfoM!$I8)</f>
        <v>34731</v>
      </c>
      <c r="AA11" s="30">
        <f ca="1">DATE(YEAR(AA$1),MONTH(AA$1)+InfoM!$H8,InfoM!$I8)</f>
        <v>34759</v>
      </c>
      <c r="AB11" s="30">
        <f ca="1">DATE(YEAR(AB$1),MONTH(AB$1)+InfoM!$H8,InfoM!$I8)</f>
        <v>34790</v>
      </c>
      <c r="AC11" s="30">
        <f ca="1">DATE(YEAR(AC$1),MONTH(AC$1)+InfoM!$H8,InfoM!$I8)</f>
        <v>34820</v>
      </c>
      <c r="AD11" s="30">
        <f ca="1">DATE(YEAR(AD$1),MONTH(AD$1)+InfoM!$H8,InfoM!$I8)</f>
        <v>34851</v>
      </c>
      <c r="AE11" s="30">
        <f ca="1">DATE(YEAR(AE$1),MONTH(AE$1)+InfoM!$H8,InfoM!$I8)</f>
        <v>34881</v>
      </c>
      <c r="AF11" s="30">
        <f ca="1">DATE(YEAR(AF$1),MONTH(AF$1)+InfoM!$H8,InfoM!$I8)</f>
        <v>34912</v>
      </c>
      <c r="AG11" s="30">
        <f ca="1">DATE(YEAR(AG$1),MONTH(AG$1)+InfoM!$H8,InfoM!$I8)</f>
        <v>34943</v>
      </c>
      <c r="AH11" s="30">
        <f ca="1">DATE(YEAR(AH$1),MONTH(AH$1)+InfoM!$H8,InfoM!$I8)</f>
        <v>34973</v>
      </c>
      <c r="AI11" s="30">
        <f ca="1">DATE(YEAR(AI$1),MONTH(AI$1)+InfoM!$H8,InfoM!$I8)</f>
        <v>35004</v>
      </c>
      <c r="AJ11" s="30">
        <f ca="1">DATE(YEAR(AJ$1),MONTH(AJ$1)+InfoM!$H8,InfoM!$I8)</f>
        <v>35034</v>
      </c>
      <c r="AK11" s="30">
        <f ca="1">DATE(YEAR(AK$1),MONTH(AK$1)+InfoM!$H8,InfoM!$I8)</f>
        <v>35065</v>
      </c>
      <c r="AL11" s="30">
        <f ca="1">DATE(YEAR(AL$1),MONTH(AL$1)+InfoM!$H8,InfoM!$I8)</f>
        <v>35096</v>
      </c>
      <c r="AM11" s="30">
        <f ca="1">DATE(YEAR(AM$1),MONTH(AM$1)+InfoM!$H8,InfoM!$I8)</f>
        <v>35125</v>
      </c>
      <c r="AN11" s="30">
        <f ca="1">DATE(YEAR(AN$1),MONTH(AN$1)+InfoM!$H8,InfoM!$I8)</f>
        <v>35156</v>
      </c>
      <c r="AO11" s="30">
        <f ca="1">DATE(YEAR(AO$1),MONTH(AO$1)+InfoM!$H8,InfoM!$I8)</f>
        <v>35186</v>
      </c>
      <c r="AP11" s="30">
        <f ca="1">DATE(YEAR(AP$1),MONTH(AP$1)+InfoM!$H8,InfoM!$I8)</f>
        <v>35217</v>
      </c>
      <c r="AQ11" s="30">
        <f ca="1">DATE(YEAR(AQ$1),MONTH(AQ$1)+InfoM!$H8,InfoM!$I8)</f>
        <v>35247</v>
      </c>
      <c r="AR11" s="30">
        <f ca="1">DATE(YEAR(AR$1),MONTH(AR$1)+InfoM!$H8,InfoM!$I8)</f>
        <v>35278</v>
      </c>
      <c r="AS11" s="30">
        <f ca="1">DATE(YEAR(AS$1),MONTH(AS$1)+InfoM!$H8,InfoM!$I8)</f>
        <v>35309</v>
      </c>
      <c r="AT11" s="30">
        <f ca="1">DATE(YEAR(AT$1),MONTH(AT$1)+InfoM!$H8,InfoM!$I8)</f>
        <v>35339</v>
      </c>
      <c r="AU11" s="30">
        <f ca="1">DATE(YEAR(AU$1),MONTH(AU$1)+InfoM!$H8,InfoM!$I8)</f>
        <v>35370</v>
      </c>
      <c r="AV11" s="30">
        <f ca="1">DATE(YEAR(AV$1),MONTH(AV$1)+InfoM!$H8,InfoM!$I8)</f>
        <v>35400</v>
      </c>
      <c r="AW11" s="30">
        <f ca="1">DATE(YEAR(AW$1),MONTH(AW$1)+InfoM!$H8,InfoM!$I8)</f>
        <v>35431</v>
      </c>
      <c r="AX11" s="30">
        <f ca="1">DATE(YEAR(AX$1),MONTH(AX$1)+InfoM!$H8,InfoM!$I8)</f>
        <v>35462</v>
      </c>
      <c r="AY11" s="30">
        <f ca="1">DATE(YEAR(AY$1),MONTH(AY$1)+InfoM!$H8,InfoM!$I8)</f>
        <v>35490</v>
      </c>
      <c r="AZ11" s="30">
        <f ca="1">DATE(YEAR(AZ$1),MONTH(AZ$1)+InfoM!$H8,InfoM!$I8)</f>
        <v>35521</v>
      </c>
      <c r="BA11" s="30">
        <f ca="1">DATE(YEAR(BA$1),MONTH(BA$1)+InfoM!$H8,InfoM!$I8)</f>
        <v>35551</v>
      </c>
      <c r="BB11" s="30">
        <f ca="1">DATE(YEAR(BB$1),MONTH(BB$1)+InfoM!$H8,InfoM!$I8)</f>
        <v>35582</v>
      </c>
      <c r="BC11" s="30">
        <f ca="1">DATE(YEAR(BC$1),MONTH(BC$1)+InfoM!$H8,InfoM!$I8)</f>
        <v>35612</v>
      </c>
      <c r="BD11" s="30">
        <f ca="1">DATE(YEAR(BD$1),MONTH(BD$1)+InfoM!$H8,InfoM!$I8)</f>
        <v>35643</v>
      </c>
      <c r="BE11" s="30">
        <f ca="1">DATE(YEAR(BE$1),MONTH(BE$1)+InfoM!$H8,InfoM!$I8)</f>
        <v>35674</v>
      </c>
      <c r="BF11" s="30">
        <f ca="1">DATE(YEAR(BF$1),MONTH(BF$1)+InfoM!$H8,InfoM!$I8)</f>
        <v>35704</v>
      </c>
      <c r="BG11" s="30">
        <f ca="1">DATE(YEAR(BG$1),MONTH(BG$1)+InfoM!$H8,InfoM!$I8)</f>
        <v>35735</v>
      </c>
      <c r="BH11" s="30">
        <f ca="1">DATE(YEAR(BH$1),MONTH(BH$1)+InfoM!$H8,InfoM!$I8)</f>
        <v>35765</v>
      </c>
      <c r="BI11" s="30">
        <f ca="1">DATE(YEAR(BI$1),MONTH(BI$1)+InfoM!$H8,InfoM!$I8)</f>
        <v>35796</v>
      </c>
      <c r="BJ11" s="30">
        <f ca="1">DATE(YEAR(BJ$1),MONTH(BJ$1)+InfoM!$H8,InfoM!$I8)</f>
        <v>35827</v>
      </c>
      <c r="BK11" s="30">
        <f ca="1">DATE(YEAR(BK$1),MONTH(BK$1)+InfoM!$H8,InfoM!$I8)</f>
        <v>35855</v>
      </c>
      <c r="BL11" s="30">
        <f ca="1">DATE(YEAR(BL$1),MONTH(BL$1)+InfoM!$H8,InfoM!$I8)</f>
        <v>35886</v>
      </c>
      <c r="BM11" s="30">
        <f ca="1">DATE(YEAR(BM$1),MONTH(BM$1)+InfoM!$H8,InfoM!$I8)</f>
        <v>35916</v>
      </c>
      <c r="BN11" s="30">
        <f ca="1">DATE(YEAR(BN$1),MONTH(BN$1)+InfoM!$H8,InfoM!$I8)</f>
        <v>35947</v>
      </c>
      <c r="BO11" s="30">
        <f ca="1">DATE(YEAR(BO$1),MONTH(BO$1)+InfoM!$H8,InfoM!$I8)</f>
        <v>35977</v>
      </c>
      <c r="BP11" s="30">
        <f ca="1">DATE(YEAR(BP$1),MONTH(BP$1)+InfoM!$H8,InfoM!$I8)</f>
        <v>36008</v>
      </c>
      <c r="BQ11" s="30">
        <f ca="1">DATE(YEAR(BQ$1),MONTH(BQ$1)+InfoM!$H8,InfoM!$I8)</f>
        <v>36039</v>
      </c>
      <c r="BR11" s="30">
        <f ca="1">DATE(YEAR(BR$1),MONTH(BR$1)+InfoM!$H8,InfoM!$I8)</f>
        <v>36069</v>
      </c>
      <c r="BS11" s="30">
        <f ca="1">DATE(YEAR(BS$1),MONTH(BS$1)+InfoM!$H8,InfoM!$I8)</f>
        <v>36100</v>
      </c>
      <c r="BT11" s="30">
        <f ca="1">DATE(YEAR(BT$1),MONTH(BT$1)+InfoM!$H8,InfoM!$I8)</f>
        <v>36130</v>
      </c>
      <c r="BU11" s="30">
        <f ca="1">DATE(YEAR(BU$1),MONTH(BU$1)+InfoM!$H8,InfoM!$I8)</f>
        <v>36161</v>
      </c>
      <c r="BV11" s="30">
        <f ca="1">DATE(YEAR(BV$1),MONTH(BV$1)+InfoM!$H8,InfoM!$I8)</f>
        <v>36192</v>
      </c>
      <c r="BW11" s="30">
        <f ca="1">DATE(YEAR(BW$1),MONTH(BW$1)+InfoM!$H8,InfoM!$I8)</f>
        <v>36220</v>
      </c>
      <c r="BX11" s="30">
        <f ca="1">DATE(YEAR(BX$1),MONTH(BX$1)+InfoM!$H8,InfoM!$I8)</f>
        <v>36251</v>
      </c>
      <c r="BY11" s="30">
        <f ca="1">DATE(YEAR(BY$1),MONTH(BY$1)+InfoM!$H8,InfoM!$I8)</f>
        <v>36281</v>
      </c>
      <c r="BZ11" s="30">
        <f ca="1">DATE(YEAR(BZ$1),MONTH(BZ$1)+InfoM!$H8,InfoM!$I8)</f>
        <v>36312</v>
      </c>
      <c r="CA11" s="30">
        <f ca="1">DATE(YEAR(CA$1),MONTH(CA$1)+InfoM!$H8,InfoM!$I8)</f>
        <v>36342</v>
      </c>
      <c r="CB11" s="30">
        <f ca="1">DATE(YEAR(CB$1),MONTH(CB$1)+InfoM!$H8,InfoM!$I8)</f>
        <v>36373</v>
      </c>
      <c r="CC11" s="30">
        <f ca="1">DATE(YEAR(CC$1),MONTH(CC$1)+InfoM!$H8,InfoM!$I8)</f>
        <v>36404</v>
      </c>
      <c r="CD11" s="30">
        <f ca="1">DATE(YEAR(CD$1),MONTH(CD$1)+InfoM!$H8,InfoM!$I8)</f>
        <v>36434</v>
      </c>
      <c r="CE11" s="30">
        <f ca="1">DATE(YEAR(CE$1),MONTH(CE$1)+InfoM!$H8,InfoM!$I8)</f>
        <v>36465</v>
      </c>
      <c r="CF11" s="30">
        <f ca="1">DATE(YEAR(CF$1),MONTH(CF$1)+InfoM!$H8,InfoM!$I8)</f>
        <v>36495</v>
      </c>
      <c r="CG11" s="30">
        <f ca="1">DATE(YEAR(CG$1),MONTH(CG$1)+InfoM!$H8,InfoM!$I8)</f>
        <v>36526</v>
      </c>
      <c r="CH11" s="30">
        <f ca="1">DATE(YEAR(CH$1),MONTH(CH$1)+InfoM!$H8,InfoM!$I8)</f>
        <v>36557</v>
      </c>
      <c r="CI11" s="30">
        <f ca="1">DATE(YEAR(CI$1),MONTH(CI$1)+InfoM!$H8,InfoM!$I8)</f>
        <v>36586</v>
      </c>
      <c r="CJ11" s="30">
        <f ca="1">DATE(YEAR(CJ$1),MONTH(CJ$1)+InfoM!$H8,InfoM!$I8)</f>
        <v>36617</v>
      </c>
      <c r="CK11" s="30">
        <f ca="1">DATE(YEAR(CK$1),MONTH(CK$1)+InfoM!$H8,InfoM!$I8)</f>
        <v>36647</v>
      </c>
      <c r="CL11" s="30">
        <f ca="1">DATE(YEAR(CL$1),MONTH(CL$1)+InfoM!$H8,InfoM!$I8)</f>
        <v>36678</v>
      </c>
      <c r="CM11" s="30">
        <f ca="1">DATE(YEAR(CM$1),MONTH(CM$1)+InfoM!$H8,InfoM!$I8)</f>
        <v>36708</v>
      </c>
      <c r="CN11" s="30">
        <f ca="1">DATE(YEAR(CN$1),MONTH(CN$1)+InfoM!$H8,InfoM!$I8)</f>
        <v>36739</v>
      </c>
      <c r="CO11" s="30">
        <f ca="1">DATE(YEAR(CO$1),MONTH(CO$1)+InfoM!$H8,InfoM!$I8)</f>
        <v>36770</v>
      </c>
      <c r="CP11" s="30">
        <f ca="1">DATE(YEAR(CP$1),MONTH(CP$1)+InfoM!$H8,InfoM!$I8)</f>
        <v>36800</v>
      </c>
      <c r="CQ11" s="30">
        <f ca="1">DATE(YEAR(CQ$1),MONTH(CQ$1)+InfoM!$H8,InfoM!$I8)</f>
        <v>36831</v>
      </c>
      <c r="CR11" s="30">
        <f ca="1">DATE(YEAR(CR$1),MONTH(CR$1)+InfoM!$H8,InfoM!$I8)</f>
        <v>36861</v>
      </c>
      <c r="CS11" s="30">
        <f ca="1">DATE(YEAR(CS$1),MONTH(CS$1)+InfoM!$H8,InfoM!$I8)</f>
        <v>36892</v>
      </c>
      <c r="CT11" s="30">
        <f ca="1">DATE(YEAR(CT$1),MONTH(CT$1)+InfoM!$H8,InfoM!$I8)</f>
        <v>36923</v>
      </c>
      <c r="CU11" s="30">
        <f ca="1">DATE(YEAR(CU$1),MONTH(CU$1)+InfoM!$H8,InfoM!$I8)</f>
        <v>36951</v>
      </c>
      <c r="CV11" s="30">
        <f ca="1">DATE(YEAR(CV$1),MONTH(CV$1)+InfoM!$H8,InfoM!$I8)</f>
        <v>36982</v>
      </c>
      <c r="CW11" s="30">
        <f ca="1">DATE(YEAR(CW$1),MONTH(CW$1)+InfoM!$H8,InfoM!$I8)</f>
        <v>37012</v>
      </c>
      <c r="CX11" s="30">
        <f ca="1">DATE(YEAR(CX$1),MONTH(CX$1)+InfoM!$H8,InfoM!$I8)</f>
        <v>37043</v>
      </c>
      <c r="CY11" s="30">
        <f ca="1">DATE(YEAR(CY$1),MONTH(CY$1)+InfoM!$H8,InfoM!$I8)</f>
        <v>37073</v>
      </c>
      <c r="CZ11" s="30">
        <f ca="1">DATE(YEAR(CZ$1),MONTH(CZ$1)+InfoM!$H8,InfoM!$I8)</f>
        <v>37104</v>
      </c>
      <c r="DA11" s="30">
        <f ca="1">DATE(YEAR(DA$1),MONTH(DA$1)+InfoM!$H8,InfoM!$I8)</f>
        <v>37135</v>
      </c>
      <c r="DB11" s="30">
        <f ca="1">DATE(YEAR(DB$1),MONTH(DB$1)+InfoM!$H8,InfoM!$I8)</f>
        <v>37165</v>
      </c>
      <c r="DC11" s="30">
        <f ca="1">DATE(YEAR(DC$1),MONTH(DC$1)+InfoM!$H8,InfoM!$I8)</f>
        <v>37196</v>
      </c>
      <c r="DD11" s="30">
        <f ca="1">DATE(YEAR(DD$1),MONTH(DD$1)+InfoM!$H8,InfoM!$I8)</f>
        <v>37226</v>
      </c>
      <c r="DE11" s="30">
        <f ca="1">DATE(YEAR(DE$1),MONTH(DE$1)+InfoM!$H8,InfoM!$I8)</f>
        <v>37257</v>
      </c>
      <c r="DF11" s="30">
        <f ca="1">DATE(YEAR(DF$1),MONTH(DF$1)+InfoM!$H8,InfoM!$I8)</f>
        <v>37288</v>
      </c>
      <c r="DG11" s="30">
        <f ca="1">DATE(YEAR(DG$1),MONTH(DG$1)+InfoM!$H8,InfoM!$I8)</f>
        <v>37316</v>
      </c>
      <c r="DH11" s="30">
        <f ca="1">DATE(YEAR(DH$1),MONTH(DH$1)+InfoM!$H8,InfoM!$I8)</f>
        <v>37347</v>
      </c>
      <c r="DI11" s="30">
        <f ca="1">DATE(YEAR(DI$1),MONTH(DI$1)+InfoM!$H8,InfoM!$I8)</f>
        <v>37377</v>
      </c>
      <c r="DJ11" s="30">
        <f ca="1">DATE(YEAR(DJ$1),MONTH(DJ$1)+InfoM!$H8,InfoM!$I8)</f>
        <v>37408</v>
      </c>
      <c r="DK11" s="30">
        <f ca="1">DATE(YEAR(DK$1),MONTH(DK$1)+InfoM!$H8,InfoM!$I8)</f>
        <v>37438</v>
      </c>
      <c r="DL11" s="30">
        <f ca="1">DATE(YEAR(DL$1),MONTH(DL$1)+InfoM!$H8,InfoM!$I8)</f>
        <v>37469</v>
      </c>
      <c r="DM11" s="30">
        <f ca="1">DATE(YEAR(DM$1),MONTH(DM$1)+InfoM!$H8,InfoM!$I8)</f>
        <v>37500</v>
      </c>
      <c r="DN11" s="30">
        <f ca="1">DATE(YEAR(DN$1),MONTH(DN$1)+InfoM!$H8,InfoM!$I8)</f>
        <v>37530</v>
      </c>
      <c r="DO11" s="30">
        <f ca="1">DATE(YEAR(DO$1),MONTH(DO$1)+InfoM!$H8,InfoM!$I8)</f>
        <v>37561</v>
      </c>
      <c r="DP11" s="30">
        <f ca="1">DATE(YEAR(DP$1),MONTH(DP$1)+InfoM!$H8,InfoM!$I8)</f>
        <v>37591</v>
      </c>
      <c r="DQ11" s="30">
        <f ca="1">DATE(YEAR(DQ$1),MONTH(DQ$1)+InfoM!$H8,InfoM!$I8)</f>
        <v>37622</v>
      </c>
      <c r="DR11" s="30">
        <f ca="1">DATE(YEAR(DR$1),MONTH(DR$1)+InfoM!$H8,InfoM!$I8)</f>
        <v>37653</v>
      </c>
      <c r="DS11" s="30">
        <f ca="1">DATE(YEAR(DS$1),MONTH(DS$1)+InfoM!$H8,InfoM!$I8)</f>
        <v>37681</v>
      </c>
      <c r="DT11" s="30">
        <f ca="1">DATE(YEAR(DT$1),MONTH(DT$1)+InfoM!$H8,InfoM!$I8)</f>
        <v>37712</v>
      </c>
      <c r="DU11" s="30">
        <f ca="1">DATE(YEAR(DU$1),MONTH(DU$1)+InfoM!$H8,InfoM!$I8)</f>
        <v>37742</v>
      </c>
      <c r="DV11" s="30">
        <f ca="1">DATE(YEAR(DV$1),MONTH(DV$1)+InfoM!$H8,InfoM!$I8)</f>
        <v>37773</v>
      </c>
      <c r="DW11" s="30">
        <f ca="1">DATE(YEAR(DW$1),MONTH(DW$1)+InfoM!$H8,InfoM!$I8)</f>
        <v>37803</v>
      </c>
      <c r="DX11" s="30">
        <f ca="1">DATE(YEAR(DX$1),MONTH(DX$1)+InfoM!$H8,InfoM!$I8)</f>
        <v>37834</v>
      </c>
      <c r="DY11" s="30">
        <f ca="1">DATE(YEAR(DY$1),MONTH(DY$1)+InfoM!$H8,InfoM!$I8)</f>
        <v>37865</v>
      </c>
      <c r="DZ11" s="30">
        <f ca="1">DATE(YEAR(DZ$1),MONTH(DZ$1)+InfoM!$H8,InfoM!$I8)</f>
        <v>37895</v>
      </c>
      <c r="EA11" s="30">
        <f ca="1">DATE(YEAR(EA$1),MONTH(EA$1)+InfoM!$H8,InfoM!$I8)</f>
        <v>37926</v>
      </c>
      <c r="EB11" s="30">
        <f ca="1">DATE(YEAR(EB$1),MONTH(EB$1)+InfoM!$H8,InfoM!$I8)</f>
        <v>37956</v>
      </c>
      <c r="EC11" s="30">
        <f ca="1">DATE(YEAR(EC$1),MONTH(EC$1)+InfoM!$H8,InfoM!$I8)</f>
        <v>37987</v>
      </c>
      <c r="ED11" s="30">
        <f ca="1">DATE(YEAR(ED$1),MONTH(ED$1)+InfoM!$H8,InfoM!$I8)</f>
        <v>38018</v>
      </c>
      <c r="EE11" s="30">
        <f ca="1">DATE(YEAR(EE$1),MONTH(EE$1)+InfoM!$H8,InfoM!$I8)</f>
        <v>38047</v>
      </c>
      <c r="EF11" s="30">
        <f ca="1">DATE(YEAR(EF$1),MONTH(EF$1)+InfoM!$H8,InfoM!$I8)</f>
        <v>38078</v>
      </c>
      <c r="EG11" s="30">
        <f ca="1">DATE(YEAR(EG$1),MONTH(EG$1)+InfoM!$H8,InfoM!$I8)</f>
        <v>38108</v>
      </c>
      <c r="EH11" s="30">
        <f ca="1">DATE(YEAR(EH$1),MONTH(EH$1)+InfoM!$H8,InfoM!$I8)</f>
        <v>38139</v>
      </c>
      <c r="EI11" s="30">
        <f ca="1">DATE(YEAR(EI$1),MONTH(EI$1)+InfoM!$H8,InfoM!$I8)</f>
        <v>38169</v>
      </c>
      <c r="EJ11" s="30">
        <f ca="1">DATE(YEAR(EJ$1),MONTH(EJ$1)+InfoM!$H8,InfoM!$I8)</f>
        <v>38200</v>
      </c>
      <c r="EK11" s="30">
        <f ca="1">DATE(YEAR(EK$1),MONTH(EK$1)+InfoM!$H8,InfoM!$I8)</f>
        <v>38231</v>
      </c>
      <c r="EL11" s="30">
        <f ca="1">DATE(YEAR(EL$1),MONTH(EL$1)+InfoM!$H8,InfoM!$I8)</f>
        <v>38261</v>
      </c>
      <c r="EM11" s="30">
        <f ca="1">DATE(YEAR(EM$1),MONTH(EM$1)+InfoM!$H8,InfoM!$I8)</f>
        <v>38292</v>
      </c>
      <c r="EN11" s="30">
        <f ca="1">DATE(YEAR(EN$1),MONTH(EN$1)+InfoM!$H8,InfoM!$I8)</f>
        <v>38322</v>
      </c>
      <c r="EO11" s="30">
        <f ca="1">DATE(YEAR(EO$1),MONTH(EO$1)+InfoM!$H8,InfoM!$I8)</f>
        <v>38353</v>
      </c>
      <c r="EP11" s="30">
        <f ca="1">DATE(YEAR(EP$1),MONTH(EP$1)+InfoM!$H8,InfoM!$I8)</f>
        <v>38384</v>
      </c>
      <c r="EQ11" s="30">
        <f ca="1">DATE(YEAR(EQ$1),MONTH(EQ$1)+InfoM!$H8,InfoM!$I8)</f>
        <v>38412</v>
      </c>
      <c r="ER11" s="30">
        <f ca="1">DATE(YEAR(ER$1),MONTH(ER$1)+InfoM!$H8,InfoM!$I8)</f>
        <v>38443</v>
      </c>
      <c r="ES11" s="30">
        <f ca="1">DATE(YEAR(ES$1),MONTH(ES$1)+InfoM!$H8,InfoM!$I8)</f>
        <v>38473</v>
      </c>
      <c r="ET11" s="30">
        <f ca="1">DATE(YEAR(ET$1),MONTH(ET$1)+InfoM!$H8,InfoM!$I8)</f>
        <v>38504</v>
      </c>
      <c r="EU11" s="30">
        <f ca="1">DATE(YEAR(EU$1),MONTH(EU$1)+InfoM!$H8,InfoM!$I8)</f>
        <v>38534</v>
      </c>
      <c r="EV11" s="30">
        <f ca="1">DATE(YEAR(EV$1),MONTH(EV$1)+InfoM!$H8,InfoM!$I8)</f>
        <v>38565</v>
      </c>
      <c r="EW11" s="30">
        <f ca="1">DATE(YEAR(EW$1),MONTH(EW$1)+InfoM!$H8,InfoM!$I8)</f>
        <v>38596</v>
      </c>
      <c r="EX11" s="30">
        <f ca="1">DATE(YEAR(EX$1),MONTH(EX$1)+InfoM!$H8,InfoM!$I8)</f>
        <v>38626</v>
      </c>
      <c r="EY11" s="30">
        <f ca="1">DATE(YEAR(EY$1),MONTH(EY$1)+InfoM!$H8,InfoM!$I8)</f>
        <v>38657</v>
      </c>
      <c r="EZ11" s="30">
        <f ca="1">DATE(YEAR(EZ$1),MONTH(EZ$1)+InfoM!$H8,InfoM!$I8)</f>
        <v>38687</v>
      </c>
      <c r="FA11" s="30">
        <f ca="1">DATE(YEAR(FA$1),MONTH(FA$1)+InfoM!$H8,InfoM!$I8)</f>
        <v>38718</v>
      </c>
      <c r="FB11" s="30">
        <f ca="1">DATE(YEAR(FB$1),MONTH(FB$1)+InfoM!$H8,InfoM!$I8)</f>
        <v>38749</v>
      </c>
      <c r="FC11" s="30">
        <f ca="1">DATE(YEAR(FC$1),MONTH(FC$1)+InfoM!$H8,InfoM!$I8)</f>
        <v>38777</v>
      </c>
      <c r="FD11" s="30">
        <f ca="1">DATE(YEAR(FD$1),MONTH(FD$1)+InfoM!$H8,InfoM!$I8)</f>
        <v>38808</v>
      </c>
      <c r="FE11" s="30">
        <f ca="1">DATE(YEAR(FE$1),MONTH(FE$1)+InfoM!$H8,InfoM!$I8)</f>
        <v>38838</v>
      </c>
      <c r="FF11" s="30">
        <f ca="1">DATE(YEAR(FF$1),MONTH(FF$1)+InfoM!$H8,InfoM!$I8)</f>
        <v>38869</v>
      </c>
      <c r="FG11" s="30">
        <f ca="1">DATE(YEAR(FG$1),MONTH(FG$1)+InfoM!$H8,InfoM!$I8)</f>
        <v>38899</v>
      </c>
      <c r="FH11" s="30">
        <f ca="1">DATE(YEAR(FH$1),MONTH(FH$1)+InfoM!$H8,InfoM!$I8)</f>
        <v>38930</v>
      </c>
      <c r="FI11" s="30">
        <f ca="1">DATE(YEAR(FI$1),MONTH(FI$1)+InfoM!$H8,InfoM!$I8)</f>
        <v>38961</v>
      </c>
      <c r="FJ11" s="30">
        <f ca="1">DATE(YEAR(FJ$1),MONTH(FJ$1)+InfoM!$H8,InfoM!$I8)</f>
        <v>38991</v>
      </c>
      <c r="FK11" s="30">
        <f ca="1">DATE(YEAR(FK$1),MONTH(FK$1)+InfoM!$H8,InfoM!$I8)</f>
        <v>39022</v>
      </c>
      <c r="FL11" s="30">
        <f ca="1">DATE(YEAR(FL$1),MONTH(FL$1)+InfoM!$H8,InfoM!$I8)</f>
        <v>39052</v>
      </c>
      <c r="FM11" s="30">
        <f ca="1">DATE(YEAR(FM$1),MONTH(FM$1)+InfoM!$H8,InfoM!$I8)</f>
        <v>39083</v>
      </c>
      <c r="FN11" s="30">
        <f ca="1">DATE(YEAR(FN$1),MONTH(FN$1)+InfoM!$H8,InfoM!$I8)</f>
        <v>39114</v>
      </c>
      <c r="FO11" s="30">
        <f ca="1">DATE(YEAR(FO$1),MONTH(FO$1)+InfoM!$H8,InfoM!$I8)</f>
        <v>39142</v>
      </c>
      <c r="FP11" s="30">
        <f ca="1">DATE(YEAR(FP$1),MONTH(FP$1)+InfoM!$H8,InfoM!$I8)</f>
        <v>39173</v>
      </c>
      <c r="FQ11" s="30">
        <f ca="1">DATE(YEAR(FQ$1),MONTH(FQ$1)+InfoM!$H8,InfoM!$I8)</f>
        <v>39203</v>
      </c>
      <c r="FR11" s="30">
        <f ca="1">DATE(YEAR(FR$1),MONTH(FR$1)+InfoM!$H8,InfoM!$I8)</f>
        <v>39234</v>
      </c>
      <c r="FS11" s="30">
        <f ca="1">DATE(YEAR(FS$1),MONTH(FS$1)+InfoM!$H8,InfoM!$I8)</f>
        <v>39264</v>
      </c>
      <c r="FT11" s="30">
        <f ca="1">DATE(YEAR(FT$1),MONTH(FT$1)+InfoM!$H8,InfoM!$I8)</f>
        <v>39295</v>
      </c>
      <c r="FU11" s="30">
        <f ca="1">DATE(YEAR(FU$1),MONTH(FU$1)+InfoM!$H8,InfoM!$I8)</f>
        <v>39326</v>
      </c>
      <c r="FV11" s="30">
        <f ca="1">DATE(YEAR(FV$1),MONTH(FV$1)+InfoM!$H8,InfoM!$I8)</f>
        <v>39356</v>
      </c>
      <c r="FW11" s="30">
        <f ca="1">DATE(YEAR(FW$1),MONTH(FW$1)+InfoM!$H8,InfoM!$I8)</f>
        <v>39387</v>
      </c>
      <c r="FX11" s="30">
        <f ca="1">DATE(YEAR(FX$1),MONTH(FX$1)+InfoM!$H8,InfoM!$I8)</f>
        <v>39417</v>
      </c>
      <c r="FY11" s="30">
        <f ca="1">DATE(YEAR(FY$1),MONTH(FY$1)+InfoM!$H8,InfoM!$I8)</f>
        <v>39448</v>
      </c>
      <c r="FZ11" s="30">
        <f ca="1">DATE(YEAR(FZ$1),MONTH(FZ$1)+InfoM!$H8,InfoM!$I8)</f>
        <v>39479</v>
      </c>
      <c r="GA11" s="30">
        <f ca="1">DATE(YEAR(GA$1),MONTH(GA$1)+InfoM!$H8,InfoM!$I8)</f>
        <v>39508</v>
      </c>
      <c r="GB11" s="30">
        <f ca="1">DATE(YEAR(GB$1),MONTH(GB$1)+InfoM!$H8,InfoM!$I8)</f>
        <v>39539</v>
      </c>
      <c r="GC11" s="30">
        <f ca="1">DATE(YEAR(GC$1),MONTH(GC$1)+InfoM!$H8,InfoM!$I8)</f>
        <v>39569</v>
      </c>
      <c r="GD11" s="30">
        <f ca="1">DATE(YEAR(GD$1),MONTH(GD$1)+InfoM!$H8,InfoM!$I8)</f>
        <v>39600</v>
      </c>
      <c r="GE11" s="30">
        <f ca="1">DATE(YEAR(GE$1),MONTH(GE$1)+InfoM!$H8,InfoM!$I8)</f>
        <v>39630</v>
      </c>
      <c r="GF11" s="30">
        <f ca="1">DATE(YEAR(GF$1),MONTH(GF$1)+InfoM!$H8,InfoM!$I8)</f>
        <v>39661</v>
      </c>
      <c r="GG11" s="30">
        <f ca="1">DATE(YEAR(GG$1),MONTH(GG$1)+InfoM!$H8,InfoM!$I8)</f>
        <v>39692</v>
      </c>
      <c r="GH11" s="30">
        <f ca="1">DATE(YEAR(GH$1),MONTH(GH$1)+InfoM!$H8,InfoM!$I8)</f>
        <v>39722</v>
      </c>
      <c r="GI11" s="30">
        <f ca="1">DATE(YEAR(GI$1),MONTH(GI$1)+InfoM!$H8,InfoM!$I8)</f>
        <v>39753</v>
      </c>
      <c r="GJ11" s="30">
        <f ca="1">DATE(YEAR(GJ$1),MONTH(GJ$1)+InfoM!$H8,InfoM!$I8)</f>
        <v>39783</v>
      </c>
      <c r="GK11" s="30">
        <f ca="1">DATE(YEAR(GK$1),MONTH(GK$1)+InfoM!$H8,InfoM!$I8)</f>
        <v>39814</v>
      </c>
      <c r="GL11" s="30">
        <f ca="1">DATE(YEAR(GL$1),MONTH(GL$1)+InfoM!$H8,InfoM!$I8)</f>
        <v>39845</v>
      </c>
      <c r="GM11" s="30">
        <f ca="1">DATE(YEAR(GM$1),MONTH(GM$1)+InfoM!$H8,InfoM!$I8)</f>
        <v>39873</v>
      </c>
      <c r="GN11" s="30">
        <f ca="1">DATE(YEAR(GN$1),MONTH(GN$1)+InfoM!$H8,InfoM!$I8)</f>
        <v>39904</v>
      </c>
      <c r="GO11" s="30">
        <f ca="1">DATE(YEAR(GO$1),MONTH(GO$1)+InfoM!$H8,InfoM!$I8)</f>
        <v>39934</v>
      </c>
      <c r="GP11" s="30">
        <f ca="1">DATE(YEAR(GP$1),MONTH(GP$1)+InfoM!$H8,InfoM!$I8)</f>
        <v>39965</v>
      </c>
      <c r="GQ11" s="30">
        <f ca="1">DATE(YEAR(GQ$1),MONTH(GQ$1)+InfoM!$H8,InfoM!$I8)</f>
        <v>39995</v>
      </c>
      <c r="GR11" s="30">
        <f ca="1">DATE(YEAR(GR$1),MONTH(GR$1)+InfoM!$H8,InfoM!$I8)</f>
        <v>40026</v>
      </c>
      <c r="GS11" s="30">
        <f ca="1">DATE(YEAR(GS$1),MONTH(GS$1)+InfoM!$H8,InfoM!$I8)</f>
        <v>40057</v>
      </c>
      <c r="GT11" s="30">
        <f ca="1">DATE(YEAR(GT$1),MONTH(GT$1)+InfoM!$H8,InfoM!$I8)</f>
        <v>40087</v>
      </c>
      <c r="GU11" s="30">
        <f ca="1">DATE(YEAR(GU$1),MONTH(GU$1)+InfoM!$H8,InfoM!$I8)</f>
        <v>40118</v>
      </c>
      <c r="GV11" s="30">
        <f ca="1">DATE(YEAR(GV$1),MONTH(GV$1)+InfoM!$H8,InfoM!$I8)</f>
        <v>40148</v>
      </c>
      <c r="GW11" s="30">
        <f ca="1">DATE(YEAR(GW$1),MONTH(GW$1)+InfoM!$H8,InfoM!$I8)</f>
        <v>40179</v>
      </c>
      <c r="GX11" s="30">
        <f ca="1">DATE(YEAR(GX$1),MONTH(GX$1)+InfoM!$H8,InfoM!$I8)</f>
        <v>40210</v>
      </c>
      <c r="GY11" s="30">
        <f ca="1">DATE(YEAR(GY$1),MONTH(GY$1)+InfoM!$H8,InfoM!$I8)</f>
        <v>40238</v>
      </c>
      <c r="GZ11" s="30">
        <f ca="1">DATE(YEAR(GZ$1),MONTH(GZ$1)+InfoM!$H8,InfoM!$I8)</f>
        <v>40269</v>
      </c>
      <c r="HA11" s="30">
        <f ca="1">DATE(YEAR(HA$1),MONTH(HA$1)+InfoM!$H8,InfoM!$I8)</f>
        <v>40299</v>
      </c>
      <c r="HB11" s="30">
        <f ca="1">DATE(YEAR(HB$1),MONTH(HB$1)+InfoM!$H8,InfoM!$I8)</f>
        <v>40330</v>
      </c>
      <c r="HC11" s="30">
        <f ca="1">DATE(YEAR(HC$1),MONTH(HC$1)+InfoM!$H8,InfoM!$I8)</f>
        <v>40360</v>
      </c>
      <c r="HD11" s="30">
        <f ca="1">DATE(YEAR(HD$1),MONTH(HD$1)+InfoM!$H8,InfoM!$I8)</f>
        <v>40391</v>
      </c>
      <c r="HE11" s="30">
        <f ca="1">DATE(YEAR(HE$1),MONTH(HE$1)+InfoM!$H8,InfoM!$I8)</f>
        <v>40422</v>
      </c>
      <c r="HF11" s="30">
        <f ca="1">DATE(YEAR(HF$1),MONTH(HF$1)+InfoM!$H8,InfoM!$I8)</f>
        <v>40452</v>
      </c>
      <c r="HG11" s="30">
        <f ca="1">DATE(YEAR(HG$1),MONTH(HG$1)+InfoM!$H8,InfoM!$I8)</f>
        <v>40483</v>
      </c>
      <c r="HH11" s="30">
        <f ca="1">DATE(YEAR(HH$1),MONTH(HH$1)+InfoM!$H8,InfoM!$I8)</f>
        <v>40513</v>
      </c>
      <c r="HI11" s="30">
        <f ca="1">DATE(YEAR(HI$1),MONTH(HI$1)+InfoM!$H8,InfoM!$I8)</f>
        <v>40544</v>
      </c>
      <c r="HJ11" s="30">
        <f ca="1">DATE(YEAR(HJ$1),MONTH(HJ$1)+InfoM!$H8,InfoM!$I8)</f>
        <v>40575</v>
      </c>
      <c r="HK11" s="30">
        <f ca="1">DATE(YEAR(HK$1),MONTH(HK$1)+InfoM!$H8,InfoM!$I8)</f>
        <v>40603</v>
      </c>
      <c r="HL11" s="30">
        <f ca="1">DATE(YEAR(HL$1),MONTH(HL$1)+InfoM!$H8,InfoM!$I8)</f>
        <v>40634</v>
      </c>
      <c r="HM11" s="30">
        <f ca="1">DATE(YEAR(HM$1),MONTH(HM$1)+InfoM!$H8,InfoM!$I8)</f>
        <v>40664</v>
      </c>
      <c r="HN11" s="30">
        <f ca="1">DATE(YEAR(HN$1),MONTH(HN$1)+InfoM!$H8,InfoM!$I8)</f>
        <v>40695</v>
      </c>
      <c r="HO11" s="30">
        <f ca="1">DATE(YEAR(HO$1),MONTH(HO$1)+InfoM!$H8,InfoM!$I8)</f>
        <v>40725</v>
      </c>
      <c r="HP11" s="30">
        <f ca="1">DATE(YEAR(HP$1),MONTH(HP$1)+InfoM!$H8,InfoM!$I8)</f>
        <v>40756</v>
      </c>
      <c r="HQ11" s="30">
        <f ca="1">DATE(YEAR(HQ$1),MONTH(HQ$1)+InfoM!$H8,InfoM!$I8)</f>
        <v>40787</v>
      </c>
      <c r="HR11" s="30">
        <f ca="1">DATE(YEAR(HR$1),MONTH(HR$1)+InfoM!$H8,InfoM!$I8)</f>
        <v>40817</v>
      </c>
      <c r="HS11" s="30">
        <f ca="1">DATE(YEAR(HS$1),MONTH(HS$1)+InfoM!$H8,InfoM!$I8)</f>
        <v>40848</v>
      </c>
      <c r="HT11" s="30">
        <f ca="1">DATE(YEAR(HT$1),MONTH(HT$1)+InfoM!$H8,InfoM!$I8)</f>
        <v>40878</v>
      </c>
      <c r="HU11" s="30">
        <f ca="1">DATE(YEAR(HU$1),MONTH(HU$1)+InfoM!$H8,InfoM!$I8)</f>
        <v>40909</v>
      </c>
      <c r="HV11" s="30">
        <f ca="1">DATE(YEAR(HV$1),MONTH(HV$1)+InfoM!$H8,InfoM!$I8)</f>
        <v>40940</v>
      </c>
      <c r="HW11" s="30">
        <f ca="1">DATE(YEAR(HW$1),MONTH(HW$1)+InfoM!$H8,InfoM!$I8)</f>
        <v>40969</v>
      </c>
      <c r="HX11" s="30">
        <f ca="1">DATE(YEAR(HX$1),MONTH(HX$1)+InfoM!$H8,InfoM!$I8)</f>
        <v>41000</v>
      </c>
      <c r="HY11" s="30">
        <f ca="1">DATE(YEAR(HY$1),MONTH(HY$1)+InfoM!$H8,InfoM!$I8)</f>
        <v>41030</v>
      </c>
      <c r="HZ11" s="30">
        <f ca="1">DATE(YEAR(HZ$1),MONTH(HZ$1)+InfoM!$H8,InfoM!$I8)</f>
        <v>41061</v>
      </c>
      <c r="IA11" s="30">
        <f ca="1">DATE(YEAR(IA$1),MONTH(IA$1)+InfoM!$H8,InfoM!$I8)</f>
        <v>41091</v>
      </c>
      <c r="IB11" s="30">
        <f ca="1">DATE(YEAR(IB$1),MONTH(IB$1)+InfoM!$H8,InfoM!$I8)</f>
        <v>41122</v>
      </c>
      <c r="IC11" s="30">
        <f ca="1">DATE(YEAR(IC$1),MONTH(IC$1)+InfoM!$H8,InfoM!$I8)</f>
        <v>41153</v>
      </c>
      <c r="ID11" s="30">
        <f ca="1">DATE(YEAR(ID$1),MONTH(ID$1)+InfoM!$H8,InfoM!$I8)</f>
        <v>41183</v>
      </c>
      <c r="IE11" s="30">
        <f ca="1">DATE(YEAR(IE$1),MONTH(IE$1)+InfoM!$H8,InfoM!$I8)</f>
        <v>41214</v>
      </c>
      <c r="IF11" s="30">
        <f ca="1">DATE(YEAR(IF$1),MONTH(IF$1)+InfoM!$H8,InfoM!$I8)</f>
        <v>41244</v>
      </c>
      <c r="IG11" s="30">
        <f ca="1">DATE(YEAR(IG$1),MONTH(IG$1)+InfoM!$H8,InfoM!$I8)</f>
        <v>41275</v>
      </c>
      <c r="IH11" s="30">
        <f ca="1">DATE(YEAR(IH$1),MONTH(IH$1)+InfoM!$H8,InfoM!$I8)</f>
        <v>41306</v>
      </c>
      <c r="II11" s="30">
        <f ca="1">DATE(YEAR(II$1),MONTH(II$1)+InfoM!$H8,InfoM!$I8)</f>
        <v>41334</v>
      </c>
      <c r="IJ11" s="30">
        <f ca="1">DATE(YEAR(IJ$1),MONTH(IJ$1)+InfoM!$H8,InfoM!$I8)</f>
        <v>41365</v>
      </c>
      <c r="IK11" s="30">
        <f ca="1">DATE(YEAR(IK$1),MONTH(IK$1)+InfoM!$H8,InfoM!$I8)</f>
        <v>41395</v>
      </c>
      <c r="IL11" s="30">
        <f ca="1">DATE(YEAR(IL$1),MONTH(IL$1)+InfoM!$H8,InfoM!$I8)</f>
        <v>41426</v>
      </c>
      <c r="IM11" s="30">
        <f ca="1">DATE(YEAR(IM$1),MONTH(IM$1)+InfoM!$H8,InfoM!$I8)</f>
        <v>41456</v>
      </c>
      <c r="IN11" s="30">
        <f ca="1">DATE(YEAR(IN$1),MONTH(IN$1)+InfoM!$H8,InfoM!$I8)</f>
        <v>41487</v>
      </c>
      <c r="IO11" s="30">
        <f ca="1">DATE(YEAR(IO$1),MONTH(IO$1)+InfoM!$H8,InfoM!$I8)</f>
        <v>41518</v>
      </c>
      <c r="IP11" s="30">
        <f ca="1">DATE(YEAR(IP$1),MONTH(IP$1)+InfoM!$H8,InfoM!$I8)</f>
        <v>41548</v>
      </c>
      <c r="IQ11" s="30">
        <f ca="1">DATE(YEAR(IQ$1),MONTH(IQ$1)+InfoM!$H8,InfoM!$I8)</f>
        <v>41579</v>
      </c>
      <c r="IR11" s="30">
        <f ca="1">DATE(YEAR(IR$1),MONTH(IR$1)+InfoM!$H8,InfoM!$I8)</f>
        <v>41609</v>
      </c>
      <c r="IS11" s="30">
        <f ca="1">DATE(YEAR(IS$1),MONTH(IS$1)+InfoM!$H8,InfoM!$I8)</f>
        <v>41640</v>
      </c>
      <c r="IT11" s="30">
        <f ca="1">DATE(YEAR(IT$1),MONTH(IT$1)+InfoM!$H8,InfoM!$I8)</f>
        <v>41671</v>
      </c>
      <c r="IU11" s="30">
        <f ca="1">DATE(YEAR(IU$1),MONTH(IU$1)+InfoM!$H8,InfoM!$I8)</f>
        <v>41699</v>
      </c>
      <c r="IV11" s="30">
        <f ca="1">DATE(YEAR(IV$1),MONTH(IV$1)+InfoM!$H8,InfoM!$I8)</f>
        <v>41730</v>
      </c>
      <c r="IW11" s="30">
        <f ca="1">DATE(YEAR(IW$1),MONTH(IW$1)+InfoM!$H8,InfoM!$I8)</f>
        <v>41760</v>
      </c>
      <c r="IX11" s="30">
        <f ca="1">DATE(YEAR(IX$1),MONTH(IX$1)+InfoM!$H8,InfoM!$I8)</f>
        <v>41791</v>
      </c>
      <c r="IY11" s="30">
        <f ca="1">DATE(YEAR(IY$1),MONTH(IY$1)+InfoM!$H8,InfoM!$I8)</f>
        <v>41821</v>
      </c>
      <c r="IZ11" s="30">
        <f ca="1">DATE(YEAR(IZ$1),MONTH(IZ$1)+InfoM!$H8,InfoM!$I8)</f>
        <v>41852</v>
      </c>
      <c r="JA11" s="30">
        <f ca="1">DATE(YEAR(JA$1),MONTH(JA$1)+InfoM!$H8,InfoM!$I8)</f>
        <v>41883</v>
      </c>
      <c r="JB11" s="30">
        <f ca="1">DATE(YEAR(JB$1),MONTH(JB$1)+InfoM!$H8,InfoM!$I8)</f>
        <v>41913</v>
      </c>
      <c r="JC11" s="30">
        <f ca="1">DATE(YEAR(JC$1),MONTH(JC$1)+InfoM!$H8,InfoM!$I8)</f>
        <v>41944</v>
      </c>
      <c r="JD11" s="30">
        <f ca="1">DATE(YEAR(JD$1),MONTH(JD$1)+InfoM!$H8,InfoM!$I8)</f>
        <v>41974</v>
      </c>
      <c r="JE11" s="30">
        <f ca="1">DATE(YEAR(JE$1),MONTH(JE$1)+InfoM!$H8,InfoM!$I8)</f>
        <v>42005</v>
      </c>
      <c r="JF11" s="30">
        <f ca="1">DATE(YEAR(JF$1),MONTH(JF$1)+InfoM!$H8,InfoM!$I8)</f>
        <v>42036</v>
      </c>
      <c r="JG11" s="30">
        <f ca="1">DATE(YEAR(JG$1),MONTH(JG$1)+InfoM!$H8,InfoM!$I8)</f>
        <v>42064</v>
      </c>
      <c r="JH11" s="30">
        <f ca="1">DATE(YEAR(JH$1),MONTH(JH$1)+InfoM!$H8,InfoM!$I8)</f>
        <v>42095</v>
      </c>
      <c r="JI11" s="30">
        <f ca="1">DATE(YEAR(JI$1),MONTH(JI$1)+InfoM!$H8,InfoM!$I8)</f>
        <v>42125</v>
      </c>
      <c r="JJ11" s="30">
        <f ca="1">DATE(YEAR(JJ$1),MONTH(JJ$1)+InfoM!$H8,InfoM!$I8)</f>
        <v>42156</v>
      </c>
      <c r="JK11" s="30">
        <f ca="1">DATE(YEAR(JK$1),MONTH(JK$1)+InfoM!$H8,InfoM!$I8)</f>
        <v>42186</v>
      </c>
      <c r="JL11" s="30">
        <f ca="1">DATE(YEAR(JL$1),MONTH(JL$1)+InfoM!$H8,InfoM!$I8)</f>
        <v>42217</v>
      </c>
      <c r="JM11" s="30">
        <f ca="1">DATE(YEAR(JM$1),MONTH(JM$1)+InfoM!$H8,InfoM!$I8)</f>
        <v>42248</v>
      </c>
      <c r="JN11" s="30">
        <f ca="1">DATE(YEAR(JN$1),MONTH(JN$1)+InfoM!$H8,InfoM!$I8)</f>
        <v>42278</v>
      </c>
      <c r="JO11" s="30">
        <f ca="1">DATE(YEAR(JO$1),MONTH(JO$1)+InfoM!$H8,InfoM!$I8)</f>
        <v>42309</v>
      </c>
      <c r="JP11" s="30">
        <f ca="1">DATE(YEAR(JP$1),MONTH(JP$1)+InfoM!$H8,InfoM!$I8)</f>
        <v>42339</v>
      </c>
      <c r="JQ11" s="30">
        <f ca="1">DATE(YEAR(JQ$1),MONTH(JQ$1)+InfoM!$H8,InfoM!$I8)</f>
        <v>42370</v>
      </c>
      <c r="JR11" s="30">
        <f ca="1">DATE(YEAR(JR$1),MONTH(JR$1)+InfoM!$H8,InfoM!$I8)</f>
        <v>42401</v>
      </c>
      <c r="JS11" s="30">
        <f ca="1">DATE(YEAR(JS$1),MONTH(JS$1)+InfoM!$H8,InfoM!$I8)</f>
        <v>42430</v>
      </c>
      <c r="JT11" s="30">
        <f ca="1">DATE(YEAR(JT$1),MONTH(JT$1)+InfoM!$H8,InfoM!$I8)</f>
        <v>42461</v>
      </c>
      <c r="JU11" s="30">
        <f ca="1">DATE(YEAR(JU$1),MONTH(JU$1)+InfoM!$H8,InfoM!$I8)</f>
        <v>42491</v>
      </c>
      <c r="JV11" s="30">
        <f ca="1">DATE(YEAR(JV$1),MONTH(JV$1)+InfoM!$H8,InfoM!$I8)</f>
        <v>42522</v>
      </c>
      <c r="JW11" s="30">
        <f ca="1">DATE(YEAR(JW$1),MONTH(JW$1)+InfoM!$H8,InfoM!$I8)</f>
        <v>42552</v>
      </c>
      <c r="JX11" s="30">
        <f ca="1">DATE(YEAR(JX$1),MONTH(JX$1)+InfoM!$H8,InfoM!$I8)</f>
        <v>42583</v>
      </c>
      <c r="JY11" s="30">
        <f ca="1">DATE(YEAR(JY$1),MONTH(JY$1)+InfoM!$H8,InfoM!$I8)</f>
        <v>42614</v>
      </c>
      <c r="JZ11" s="30">
        <f ca="1">DATE(YEAR(JZ$1),MONTH(JZ$1)+InfoM!$H8,InfoM!$I8)</f>
        <v>42644</v>
      </c>
      <c r="KA11" s="30">
        <f ca="1">DATE(YEAR(KA$1),MONTH(KA$1)+InfoM!$H8,InfoM!$I8)</f>
        <v>42675</v>
      </c>
      <c r="KB11" s="30">
        <f ca="1">DATE(YEAR(KB$1),MONTH(KB$1)+InfoM!$H8,InfoM!$I8)</f>
        <v>42705</v>
      </c>
      <c r="KC11" s="30">
        <f ca="1">DATE(YEAR(KC$1),MONTH(KC$1)+InfoM!$H8,InfoM!$I8)</f>
        <v>42736</v>
      </c>
      <c r="KD11" s="30">
        <f ca="1">DATE(YEAR(KD$1),MONTH(KD$1)+InfoM!$H8,InfoM!$I8)</f>
        <v>42767</v>
      </c>
      <c r="KE11" s="30">
        <f ca="1">DATE(YEAR(KE$1),MONTH(KE$1)+InfoM!$H8,InfoM!$I8)</f>
        <v>42795</v>
      </c>
      <c r="KF11" s="30">
        <f ca="1">DATE(YEAR(KF$1),MONTH(KF$1)+InfoM!$H8,InfoM!$I8)</f>
        <v>42826</v>
      </c>
      <c r="KG11" s="30">
        <f ca="1">DATE(YEAR(KG$1),MONTH(KG$1)+InfoM!$H8,InfoM!$I8)</f>
        <v>42856</v>
      </c>
      <c r="KH11" s="30">
        <f ca="1">DATE(YEAR(KH$1),MONTH(KH$1)+InfoM!$H8,InfoM!$I8)</f>
        <v>42887</v>
      </c>
      <c r="KI11" s="30">
        <f ca="1">DATE(YEAR(KI$1),MONTH(KI$1)+InfoM!$H8,InfoM!$I8)</f>
        <v>42917</v>
      </c>
      <c r="KJ11" s="30">
        <f ca="1">DATE(YEAR(KJ$1),MONTH(KJ$1)+InfoM!$H8,InfoM!$I8)</f>
        <v>42948</v>
      </c>
      <c r="KK11" s="30">
        <f ca="1">DATE(YEAR(KK$1),MONTH(KK$1)+InfoM!$H8,InfoM!$I8)</f>
        <v>42979</v>
      </c>
      <c r="KL11" s="30">
        <f ca="1">DATE(YEAR(KL$1),MONTH(KL$1)+InfoM!$H8,InfoM!$I8)</f>
        <v>43009</v>
      </c>
      <c r="KM11" s="30">
        <f ca="1">DATE(YEAR(KM$1),MONTH(KM$1)+InfoM!$H8,InfoM!$I8)</f>
        <v>43040</v>
      </c>
      <c r="KN11" s="30">
        <f ca="1">DATE(YEAR(KN$1),MONTH(KN$1)+InfoM!$H8,InfoM!$I8)</f>
        <v>43070</v>
      </c>
      <c r="KO11" s="30">
        <f ca="1">DATE(YEAR(KO$1),MONTH(KO$1)+InfoM!$H8,InfoM!$I8)</f>
        <v>43101</v>
      </c>
      <c r="KP11" s="30">
        <f ca="1">DATE(YEAR(KP$1),MONTH(KP$1)+InfoM!$H8,InfoM!$I8)</f>
        <v>43132</v>
      </c>
      <c r="KQ11" s="30">
        <f ca="1">DATE(YEAR(KQ$1),MONTH(KQ$1)+InfoM!$H8,InfoM!$I8)</f>
        <v>43160</v>
      </c>
      <c r="KR11" s="30">
        <f ca="1">DATE(YEAR(KR$1),MONTH(KR$1)+InfoM!$H8,InfoM!$I8)</f>
        <v>43191</v>
      </c>
      <c r="KS11" s="30">
        <f ca="1">DATE(YEAR(KS$1),MONTH(KS$1)+InfoM!$H8,InfoM!$I8)</f>
        <v>43221</v>
      </c>
      <c r="KT11" s="30">
        <f ca="1">DATE(YEAR(KT$1),MONTH(KT$1)+InfoM!$H8,InfoM!$I8)</f>
        <v>43252</v>
      </c>
      <c r="KU11" s="30">
        <f ca="1">DATE(YEAR(KU$1),MONTH(KU$1)+InfoM!$H8,InfoM!$I8)</f>
        <v>43282</v>
      </c>
      <c r="KV11" s="30">
        <f ca="1">DATE(YEAR(KV$1),MONTH(KV$1)+InfoM!$H8,InfoM!$I8)</f>
        <v>43313</v>
      </c>
      <c r="KW11" s="30">
        <f ca="1">DATE(YEAR(KW$1),MONTH(KW$1)+InfoM!$H8,InfoM!$I8)</f>
        <v>43344</v>
      </c>
      <c r="KX11" s="30">
        <f ca="1">DATE(YEAR(KX$1),MONTH(KX$1)+InfoM!$H8,InfoM!$I8)</f>
        <v>43374</v>
      </c>
      <c r="KY11" s="30">
        <f ca="1">DATE(YEAR(KY$1),MONTH(KY$1)+InfoM!$H8,InfoM!$I8)</f>
        <v>43405</v>
      </c>
      <c r="KZ11" s="30">
        <f ca="1">DATE(YEAR(KZ$1),MONTH(KZ$1)+InfoM!$H8,InfoM!$I8)</f>
        <v>43435</v>
      </c>
      <c r="LA11" s="30">
        <f ca="1">DATE(YEAR(LA$1),MONTH(LA$1)+InfoM!$H8,InfoM!$I8)</f>
        <v>43466</v>
      </c>
      <c r="LB11" s="30">
        <f ca="1">DATE(YEAR(LB$1),MONTH(LB$1)+InfoM!$H8,InfoM!$I8)</f>
        <v>43497</v>
      </c>
      <c r="LC11" s="30">
        <f ca="1">DATE(YEAR(LC$1),MONTH(LC$1)+InfoM!$H8,InfoM!$I8)</f>
        <v>43525</v>
      </c>
      <c r="LD11" s="30">
        <f ca="1">DATE(YEAR(LD$1),MONTH(LD$1)+InfoM!$H8,InfoM!$I8)</f>
        <v>43556</v>
      </c>
      <c r="LE11" s="30">
        <f ca="1">DATE(YEAR(LE$1),MONTH(LE$1)+InfoM!$H8,InfoM!$I8)</f>
        <v>43586</v>
      </c>
      <c r="LF11" s="30">
        <f ca="1">DATE(YEAR(LF$1),MONTH(LF$1)+InfoM!$H8,InfoM!$I8)</f>
        <v>43617</v>
      </c>
      <c r="LG11" s="30">
        <f ca="1">DATE(YEAR(LG$1),MONTH(LG$1)+InfoM!$H8,InfoM!$I8)</f>
        <v>43647</v>
      </c>
      <c r="LH11" s="30">
        <f ca="1">DATE(YEAR(LH$1),MONTH(LH$1)+InfoM!$H8,InfoM!$I8)</f>
        <v>43678</v>
      </c>
      <c r="LI11" s="30">
        <f ca="1">DATE(YEAR(LI$1),MONTH(LI$1)+InfoM!$H8,InfoM!$I8)</f>
        <v>43709</v>
      </c>
      <c r="LJ11" s="30">
        <f ca="1">DATE(YEAR(LJ$1),MONTH(LJ$1)+InfoM!$H8,InfoM!$I8)</f>
        <v>43739</v>
      </c>
      <c r="LK11" s="30">
        <f ca="1">DATE(YEAR(LK$1),MONTH(LK$1)+InfoM!$H8,InfoM!$I8)</f>
        <v>43770</v>
      </c>
      <c r="LL11" s="30">
        <f ca="1">DATE(YEAR(LL$1),MONTH(LL$1)+InfoM!$H8,InfoM!$I8)</f>
        <v>43800</v>
      </c>
      <c r="LM11" s="30">
        <f ca="1">DATE(YEAR(LM$1),MONTH(LM$1)+InfoM!$H8,InfoM!$I8)</f>
        <v>43831</v>
      </c>
      <c r="LN11" s="30">
        <f ca="1">DATE(YEAR(LN$1),MONTH(LN$1)+InfoM!$H8,InfoM!$I8)</f>
        <v>43862</v>
      </c>
      <c r="LO11" s="30">
        <f ca="1">DATE(YEAR(LO$1),MONTH(LO$1)+InfoM!$H8,InfoM!$I8)</f>
        <v>43891</v>
      </c>
      <c r="LP11" s="30">
        <f ca="1">DATE(YEAR(LP$1),MONTH(LP$1)+InfoM!$H8,InfoM!$I8)</f>
        <v>43922</v>
      </c>
      <c r="LQ11" s="30">
        <f ca="1">DATE(YEAR(LQ$1),MONTH(LQ$1)+InfoM!$H8,InfoM!$I8)</f>
        <v>43952</v>
      </c>
      <c r="LR11" s="30">
        <f ca="1">DATE(YEAR(LR$1),MONTH(LR$1)+InfoM!$H8,InfoM!$I8)</f>
        <v>43983</v>
      </c>
      <c r="LS11" s="30">
        <f ca="1">DATE(YEAR(LS$1),MONTH(LS$1)+InfoM!$H8,InfoM!$I8)</f>
        <v>44013</v>
      </c>
      <c r="LT11" s="30">
        <f ca="1">DATE(YEAR(LT$1),MONTH(LT$1)+InfoM!$H8,InfoM!$I8)</f>
        <v>44044</v>
      </c>
      <c r="LU11" s="30">
        <f ca="1">DATE(YEAR(LU$1),MONTH(LU$1)+InfoM!$H8,InfoM!$I8)</f>
        <v>44075</v>
      </c>
      <c r="LV11" s="30">
        <f ca="1">DATE(YEAR(LV$1),MONTH(LV$1)+InfoM!$H8,InfoM!$I8)</f>
        <v>44105</v>
      </c>
      <c r="LW11" s="30">
        <f ca="1">DATE(YEAR(LW$1),MONTH(LW$1)+InfoM!$H8,InfoM!$I8)</f>
        <v>44136</v>
      </c>
      <c r="LX11" s="30">
        <f ca="1">DATE(YEAR(LX$1),MONTH(LX$1)+InfoM!$H8,InfoM!$I8)</f>
        <v>44166</v>
      </c>
      <c r="LY11" s="30">
        <f ca="1">DATE(YEAR(LY$1),MONTH(LY$1)+InfoM!$H8,InfoM!$I8)</f>
        <v>44197</v>
      </c>
      <c r="LZ11" s="30">
        <f ca="1">DATE(YEAR(LZ$1),MONTH(LZ$1)+InfoM!$H8,InfoM!$I8)</f>
        <v>44228</v>
      </c>
      <c r="MA11" s="30">
        <f ca="1">DATE(YEAR(MA$1),MONTH(MA$1)+InfoM!$H8,InfoM!$I8)</f>
        <v>44256</v>
      </c>
      <c r="MB11" s="30">
        <f ca="1">DATE(YEAR(MB$1),MONTH(MB$1)+InfoM!$H8,InfoM!$I8)</f>
        <v>44287</v>
      </c>
      <c r="MC11" s="30">
        <f ca="1">DATE(YEAR(MC$1),MONTH(MC$1)+InfoM!$H8,InfoM!$I8)</f>
        <v>44317</v>
      </c>
      <c r="MD11" s="30">
        <f ca="1">DATE(YEAR(MD$1),MONTH(MD$1)+InfoM!$H8,InfoM!$I8)</f>
        <v>44348</v>
      </c>
      <c r="ME11" s="30">
        <f ca="1">DATE(YEAR(ME$1),MONTH(ME$1)+InfoM!$H8,InfoM!$I8)</f>
        <v>44378</v>
      </c>
      <c r="MF11" s="30">
        <f ca="1">DATE(YEAR(MF$1),MONTH(MF$1)+InfoM!$H8,InfoM!$I8)</f>
        <v>44409</v>
      </c>
      <c r="MG11" s="30">
        <f ca="1">DATE(YEAR(MG$1),MONTH(MG$1)+InfoM!$H8,InfoM!$I8)</f>
        <v>44440</v>
      </c>
      <c r="MH11" s="30">
        <f ca="1">DATE(YEAR(MH$1),MONTH(MH$1)+InfoM!$H8,InfoM!$I8)</f>
        <v>44470</v>
      </c>
      <c r="MI11" s="30">
        <f ca="1">DATE(YEAR(MI$1),MONTH(MI$1)+InfoM!$H8,InfoM!$I8)</f>
        <v>44501</v>
      </c>
      <c r="MJ11" s="30">
        <f ca="1">DATE(YEAR(MJ$1),MONTH(MJ$1)+InfoM!$H8,InfoM!$I8)</f>
        <v>44531</v>
      </c>
      <c r="MK11" s="30">
        <f ca="1">DATE(YEAR(MK$1),MONTH(MK$1)+InfoM!$H8,InfoM!$I8)</f>
        <v>44562</v>
      </c>
      <c r="ML11" s="30">
        <f ca="1">DATE(YEAR(ML$1),MONTH(ML$1)+InfoM!$H8,InfoM!$I8)</f>
        <v>44593</v>
      </c>
      <c r="MM11" s="30">
        <f ca="1">DATE(YEAR(MM$1),MONTH(MM$1)+InfoM!$H8,InfoM!$I8)</f>
        <v>44621</v>
      </c>
      <c r="MN11" s="30">
        <f ca="1">DATE(YEAR(MN$1),MONTH(MN$1)+InfoM!$H8,InfoM!$I8)</f>
        <v>44652</v>
      </c>
      <c r="MO11" s="30">
        <f ca="1">DATE(YEAR(MO$1),MONTH(MO$1)+InfoM!$H8,InfoM!$I8)</f>
        <v>44682</v>
      </c>
      <c r="MP11" s="30">
        <f ca="1">DATE(YEAR(MP$1),MONTH(MP$1)+InfoM!$H8,InfoM!$I8)</f>
        <v>44713</v>
      </c>
      <c r="MQ11" s="30">
        <f ca="1">DATE(YEAR(MQ$1),MONTH(MQ$1)+InfoM!$H8,InfoM!$I8)</f>
        <v>44743</v>
      </c>
      <c r="MR11" s="30">
        <f ca="1">DATE(YEAR(MR$1),MONTH(MR$1)+InfoM!$H8,InfoM!$I8)</f>
        <v>44774</v>
      </c>
      <c r="MS11" s="30">
        <f ca="1">DATE(YEAR(MS$1),MONTH(MS$1)+InfoM!$H8,InfoM!$I8)</f>
        <v>44805</v>
      </c>
      <c r="MT11" s="30">
        <f ca="1">DATE(YEAR(MT$1),MONTH(MT$1)+InfoM!$H8,InfoM!$I8)</f>
        <v>44835</v>
      </c>
      <c r="MU11" s="30">
        <f ca="1">DATE(YEAR(MU$1),MONTH(MU$1)+InfoM!$H8,InfoM!$I8)</f>
        <v>44866</v>
      </c>
      <c r="MV11" s="30">
        <f ca="1">DATE(YEAR(MV$1),MONTH(MV$1)+InfoM!$H8,InfoM!$I8)</f>
        <v>44896</v>
      </c>
      <c r="MW11" s="30">
        <f ca="1">DATE(YEAR(MW$1),MONTH(MW$1)+InfoM!$H8,InfoM!$I8)</f>
        <v>44927</v>
      </c>
      <c r="MX11" s="30">
        <f ca="1">DATE(YEAR(MX$1),MONTH(MX$1)+InfoM!$H8,InfoM!$I8)</f>
        <v>44958</v>
      </c>
      <c r="MY11" s="30">
        <f ca="1">DATE(YEAR(MY$1),MONTH(MY$1)+InfoM!$H8,InfoM!$I8)</f>
        <v>44986</v>
      </c>
      <c r="MZ11" s="30">
        <f ca="1">DATE(YEAR(MZ$1),MONTH(MZ$1)+InfoM!$H8,InfoM!$I8)</f>
        <v>45017</v>
      </c>
      <c r="NA11" s="30">
        <f ca="1">DATE(YEAR(NA$1),MONTH(NA$1)+InfoM!$H8,InfoM!$I8)</f>
        <v>45047</v>
      </c>
      <c r="NB11" s="30">
        <f ca="1">DATE(YEAR(NB$1),MONTH(NB$1)+InfoM!$H8,InfoM!$I8)</f>
        <v>45078</v>
      </c>
      <c r="NC11" s="30">
        <f ca="1">DATE(YEAR(NC$1),MONTH(NC$1)+InfoM!$H8,InfoM!$I8)</f>
        <v>45108</v>
      </c>
      <c r="ND11" s="30">
        <f ca="1">DATE(YEAR(ND$1),MONTH(ND$1)+InfoM!$H8,InfoM!$I8)</f>
        <v>45139</v>
      </c>
      <c r="NE11" s="30">
        <f ca="1">DATE(YEAR(NE$1),MONTH(NE$1)+InfoM!$H8,InfoM!$I8)</f>
        <v>45170</v>
      </c>
      <c r="NF11" s="30">
        <f ca="1">DATE(YEAR(NF$1),MONTH(NF$1)+InfoM!$H8,InfoM!$I8)</f>
        <v>45200</v>
      </c>
      <c r="NG11" s="30">
        <f ca="1">DATE(YEAR(NG$1),MONTH(NG$1)+InfoM!$H8,InfoM!$I8)</f>
        <v>45231</v>
      </c>
      <c r="NH11" s="30">
        <f ca="1">DATE(YEAR(NH$1),MONTH(NH$1)+InfoM!$H8,InfoM!$I8)</f>
        <v>45261</v>
      </c>
      <c r="NI11" s="30">
        <f ca="1">DATE(YEAR(NI$1),MONTH(NI$1)+InfoM!$H8,InfoM!$I8)</f>
        <v>45292</v>
      </c>
      <c r="NJ11" s="30">
        <f ca="1">DATE(YEAR(NJ$1),MONTH(NJ$1)+InfoM!$H8,InfoM!$I8)</f>
        <v>45323</v>
      </c>
      <c r="NK11" s="30">
        <f ca="1">DATE(YEAR(NK$1),MONTH(NK$1)+InfoM!$H8,InfoM!$I8)</f>
        <v>45352</v>
      </c>
      <c r="NL11" s="30">
        <f ca="1">DATE(YEAR(NL$1),MONTH(NL$1)+InfoM!$H8,InfoM!$I8)</f>
        <v>45383</v>
      </c>
      <c r="NM11" s="30">
        <f ca="1">DATE(YEAR(NM$1),MONTH(NM$1)+InfoM!$H8,InfoM!$I8)</f>
        <v>45413</v>
      </c>
      <c r="NN11" s="30">
        <f ca="1">DATE(YEAR(NN$1),MONTH(NN$1)+InfoM!$H8,InfoM!$I8)</f>
        <v>45444</v>
      </c>
      <c r="NO11" s="30">
        <f ca="1">DATE(YEAR(NO$1),MONTH(NO$1)+InfoM!$H8,InfoM!$I8)</f>
        <v>45474</v>
      </c>
      <c r="NP11" s="30">
        <f ca="1">DATE(YEAR(NP$1),MONTH(NP$1)+InfoM!$H8,InfoM!$I8)</f>
        <v>45505</v>
      </c>
      <c r="NQ11" s="30">
        <f ca="1">DATE(YEAR(NQ$1),MONTH(NQ$1)+InfoM!$H8,InfoM!$I8)</f>
        <v>45536</v>
      </c>
      <c r="NR11" s="30">
        <f ca="1">DATE(YEAR(NR$1),MONTH(NR$1)+InfoM!$H8,InfoM!$I8)</f>
        <v>45566</v>
      </c>
      <c r="NS11" s="30">
        <f ca="1">DATE(YEAR(NS$1),MONTH(NS$1)+InfoM!$H8,InfoM!$I8)</f>
        <v>45597</v>
      </c>
      <c r="NT11" s="30">
        <f ca="1">DATE(YEAR(NT$1),MONTH(NT$1)+InfoM!$H8,InfoM!$I8)</f>
        <v>45627</v>
      </c>
      <c r="NU11" s="30">
        <f ca="1">DATE(YEAR(NU$1),MONTH(NU$1)+InfoM!$H8,InfoM!$I8)</f>
        <v>45658</v>
      </c>
      <c r="NV11" s="30">
        <f ca="1">DATE(YEAR(NV$1),MONTH(NV$1)+InfoM!$H8,InfoM!$I8)</f>
        <v>45689</v>
      </c>
      <c r="NW11" s="30">
        <f ca="1">DATE(YEAR(NW$1),MONTH(NW$1)+InfoM!$H8,InfoM!$I8)</f>
        <v>45717</v>
      </c>
      <c r="NX11" s="30">
        <f ca="1">DATE(YEAR(NX$1),MONTH(NX$1)+InfoM!$H8,InfoM!$I8)</f>
        <v>45748</v>
      </c>
      <c r="NY11" s="30">
        <f ca="1">DATE(YEAR(NY$1),MONTH(NY$1)+InfoM!$H8,InfoM!$I8)</f>
        <v>45778</v>
      </c>
      <c r="NZ11" s="30">
        <f ca="1">DATE(YEAR(NZ$1),MONTH(NZ$1)+InfoM!$H8,InfoM!$I8)</f>
        <v>45809</v>
      </c>
      <c r="OA11" s="30">
        <f ca="1">DATE(YEAR(OA$1),MONTH(OA$1)+InfoM!$H8,InfoM!$I8)</f>
        <v>45839</v>
      </c>
      <c r="OB11" s="30">
        <f ca="1">DATE(YEAR(OB$1),MONTH(OB$1)+InfoM!$H8,InfoM!$I8)</f>
        <v>45870</v>
      </c>
      <c r="OC11" s="30">
        <f ca="1">DATE(YEAR(OC$1),MONTH(OC$1)+InfoM!$H8,InfoM!$I8)</f>
        <v>45901</v>
      </c>
      <c r="OD11" s="30">
        <f ca="1">DATE(YEAR(OD$1),MONTH(OD$1)+InfoM!$H8,InfoM!$I8)</f>
        <v>45931</v>
      </c>
      <c r="OE11" s="30">
        <f ca="1">DATE(YEAR(OE$1),MONTH(OE$1)+InfoM!$H8,InfoM!$I8)</f>
        <v>45962</v>
      </c>
      <c r="OF11" s="30">
        <f ca="1">DATE(YEAR(OF$1),MONTH(OF$1)+InfoM!$H8,InfoM!$I8)</f>
        <v>45992</v>
      </c>
      <c r="OG11" s="30">
        <f ca="1">DATE(YEAR(OG$1),MONTH(OG$1)+InfoM!$H8,InfoM!$I8)</f>
        <v>46023</v>
      </c>
      <c r="OH11" s="30">
        <f ca="1">DATE(YEAR(OH$1),MONTH(OH$1)+InfoM!$H8,InfoM!$I8)</f>
        <v>46054</v>
      </c>
      <c r="OI11" s="30">
        <f ca="1">DATE(YEAR(OI$1),MONTH(OI$1)+InfoM!$H8,InfoM!$I8)</f>
        <v>46082</v>
      </c>
      <c r="OJ11" s="30">
        <f ca="1">DATE(YEAR(OJ$1),MONTH(OJ$1)+InfoM!$H8,InfoM!$I8)</f>
        <v>46113</v>
      </c>
      <c r="OK11" s="30">
        <f ca="1">DATE(YEAR(OK$1),MONTH(OK$1)+InfoM!$H8,InfoM!$I8)</f>
        <v>46143</v>
      </c>
      <c r="OL11" s="30">
        <f ca="1">DATE(YEAR(OL$1),MONTH(OL$1)+InfoM!$H8,InfoM!$I8)</f>
        <v>46174</v>
      </c>
      <c r="OM11" s="30">
        <f ca="1">DATE(YEAR(OM$1),MONTH(OM$1)+InfoM!$H8,InfoM!$I8)</f>
        <v>46204</v>
      </c>
      <c r="ON11" s="30">
        <f ca="1">DATE(YEAR(ON$1),MONTH(ON$1)+InfoM!$H8,InfoM!$I8)</f>
        <v>46235</v>
      </c>
      <c r="OO11" s="30">
        <f ca="1">DATE(YEAR(OO$1),MONTH(OO$1)+InfoM!$H8,InfoM!$I8)</f>
        <v>46266</v>
      </c>
      <c r="OP11" s="30">
        <f ca="1">DATE(YEAR(OP$1),MONTH(OP$1)+InfoM!$H8,InfoM!$I8)</f>
        <v>46296</v>
      </c>
      <c r="OQ11" s="30">
        <f ca="1">DATE(YEAR(OQ$1),MONTH(OQ$1)+InfoM!$H8,InfoM!$I8)</f>
        <v>46327</v>
      </c>
      <c r="OR11" s="30">
        <f ca="1">DATE(YEAR(OR$1),MONTH(OR$1)+InfoM!$H8,InfoM!$I8)</f>
        <v>46357</v>
      </c>
      <c r="OS11" s="30">
        <f ca="1">DATE(YEAR(OS$1),MONTH(OS$1)+InfoM!$H8,InfoM!$I8)</f>
        <v>46388</v>
      </c>
      <c r="OT11" s="30">
        <f ca="1">DATE(YEAR(OT$1),MONTH(OT$1)+InfoM!$H8,InfoM!$I8)</f>
        <v>46419</v>
      </c>
    </row>
    <row r="12" spans="1:410" x14ac:dyDescent="0.35">
      <c r="A12" s="19" t="str">
        <f>InfoM!A9</f>
        <v>M_raw_mat</v>
      </c>
      <c r="B12">
        <f>InfoM!G9</f>
        <v>1</v>
      </c>
      <c r="C12" s="30">
        <f>DATE(YEAR(C$1),MONTH(C$1)+InfoM!$H9,InfoM!$I9)</f>
        <v>34029</v>
      </c>
      <c r="D12" s="30">
        <f ca="1">DATE(YEAR(D$1),MONTH(D$1)+InfoM!$H9,InfoM!$I9)</f>
        <v>34060</v>
      </c>
      <c r="E12" s="30">
        <f ca="1">DATE(YEAR(E$1),MONTH(E$1)+InfoM!$H9,InfoM!$I9)</f>
        <v>34090</v>
      </c>
      <c r="F12" s="30">
        <f ca="1">DATE(YEAR(F$1),MONTH(F$1)+InfoM!$H9,InfoM!$I9)</f>
        <v>34121</v>
      </c>
      <c r="G12" s="30">
        <f ca="1">DATE(YEAR(G$1),MONTH(G$1)+InfoM!$H9,InfoM!$I9)</f>
        <v>34151</v>
      </c>
      <c r="H12" s="30">
        <f ca="1">DATE(YEAR(H$1),MONTH(H$1)+InfoM!$H9,InfoM!$I9)</f>
        <v>34182</v>
      </c>
      <c r="I12" s="30">
        <f ca="1">DATE(YEAR(I$1),MONTH(I$1)+InfoM!$H9,InfoM!$I9)</f>
        <v>34213</v>
      </c>
      <c r="J12" s="30">
        <f ca="1">DATE(YEAR(J$1),MONTH(J$1)+InfoM!$H9,InfoM!$I9)</f>
        <v>34243</v>
      </c>
      <c r="K12" s="30">
        <f ca="1">DATE(YEAR(K$1),MONTH(K$1)+InfoM!$H9,InfoM!$I9)</f>
        <v>34274</v>
      </c>
      <c r="L12" s="30">
        <f ca="1">DATE(YEAR(L$1),MONTH(L$1)+InfoM!$H9,InfoM!$I9)</f>
        <v>34304</v>
      </c>
      <c r="M12" s="30">
        <f ca="1">DATE(YEAR(M$1),MONTH(M$1)+InfoM!$H9,InfoM!$I9)</f>
        <v>34335</v>
      </c>
      <c r="N12" s="30">
        <f ca="1">DATE(YEAR(N$1),MONTH(N$1)+InfoM!$H9,InfoM!$I9)</f>
        <v>34366</v>
      </c>
      <c r="O12" s="30">
        <f ca="1">DATE(YEAR(O$1),MONTH(O$1)+InfoM!$H9,InfoM!$I9)</f>
        <v>34394</v>
      </c>
      <c r="P12" s="30">
        <f ca="1">DATE(YEAR(P$1),MONTH(P$1)+InfoM!$H9,InfoM!$I9)</f>
        <v>34425</v>
      </c>
      <c r="Q12" s="30">
        <f ca="1">DATE(YEAR(Q$1),MONTH(Q$1)+InfoM!$H9,InfoM!$I9)</f>
        <v>34455</v>
      </c>
      <c r="R12" s="30">
        <f ca="1">DATE(YEAR(R$1),MONTH(R$1)+InfoM!$H9,InfoM!$I9)</f>
        <v>34486</v>
      </c>
      <c r="S12" s="30">
        <f ca="1">DATE(YEAR(S$1),MONTH(S$1)+InfoM!$H9,InfoM!$I9)</f>
        <v>34516</v>
      </c>
      <c r="T12" s="30">
        <f ca="1">DATE(YEAR(T$1),MONTH(T$1)+InfoM!$H9,InfoM!$I9)</f>
        <v>34547</v>
      </c>
      <c r="U12" s="30">
        <f ca="1">DATE(YEAR(U$1),MONTH(U$1)+InfoM!$H9,InfoM!$I9)</f>
        <v>34578</v>
      </c>
      <c r="V12" s="30">
        <f ca="1">DATE(YEAR(V$1),MONTH(V$1)+InfoM!$H9,InfoM!$I9)</f>
        <v>34608</v>
      </c>
      <c r="W12" s="30">
        <f ca="1">DATE(YEAR(W$1),MONTH(W$1)+InfoM!$H9,InfoM!$I9)</f>
        <v>34639</v>
      </c>
      <c r="X12" s="30">
        <f ca="1">DATE(YEAR(X$1),MONTH(X$1)+InfoM!$H9,InfoM!$I9)</f>
        <v>34669</v>
      </c>
      <c r="Y12" s="30">
        <f ca="1">DATE(YEAR(Y$1),MONTH(Y$1)+InfoM!$H9,InfoM!$I9)</f>
        <v>34700</v>
      </c>
      <c r="Z12" s="30">
        <f ca="1">DATE(YEAR(Z$1),MONTH(Z$1)+InfoM!$H9,InfoM!$I9)</f>
        <v>34731</v>
      </c>
      <c r="AA12" s="30">
        <f ca="1">DATE(YEAR(AA$1),MONTH(AA$1)+InfoM!$H9,InfoM!$I9)</f>
        <v>34759</v>
      </c>
      <c r="AB12" s="30">
        <f ca="1">DATE(YEAR(AB$1),MONTH(AB$1)+InfoM!$H9,InfoM!$I9)</f>
        <v>34790</v>
      </c>
      <c r="AC12" s="30">
        <f ca="1">DATE(YEAR(AC$1),MONTH(AC$1)+InfoM!$H9,InfoM!$I9)</f>
        <v>34820</v>
      </c>
      <c r="AD12" s="30">
        <f ca="1">DATE(YEAR(AD$1),MONTH(AD$1)+InfoM!$H9,InfoM!$I9)</f>
        <v>34851</v>
      </c>
      <c r="AE12" s="30">
        <f ca="1">DATE(YEAR(AE$1),MONTH(AE$1)+InfoM!$H9,InfoM!$I9)</f>
        <v>34881</v>
      </c>
      <c r="AF12" s="30">
        <f ca="1">DATE(YEAR(AF$1),MONTH(AF$1)+InfoM!$H9,InfoM!$I9)</f>
        <v>34912</v>
      </c>
      <c r="AG12" s="30">
        <f ca="1">DATE(YEAR(AG$1),MONTH(AG$1)+InfoM!$H9,InfoM!$I9)</f>
        <v>34943</v>
      </c>
      <c r="AH12" s="30">
        <f ca="1">DATE(YEAR(AH$1),MONTH(AH$1)+InfoM!$H9,InfoM!$I9)</f>
        <v>34973</v>
      </c>
      <c r="AI12" s="30">
        <f ca="1">DATE(YEAR(AI$1),MONTH(AI$1)+InfoM!$H9,InfoM!$I9)</f>
        <v>35004</v>
      </c>
      <c r="AJ12" s="30">
        <f ca="1">DATE(YEAR(AJ$1),MONTH(AJ$1)+InfoM!$H9,InfoM!$I9)</f>
        <v>35034</v>
      </c>
      <c r="AK12" s="30">
        <f ca="1">DATE(YEAR(AK$1),MONTH(AK$1)+InfoM!$H9,InfoM!$I9)</f>
        <v>35065</v>
      </c>
      <c r="AL12" s="30">
        <f ca="1">DATE(YEAR(AL$1),MONTH(AL$1)+InfoM!$H9,InfoM!$I9)</f>
        <v>35096</v>
      </c>
      <c r="AM12" s="30">
        <f ca="1">DATE(YEAR(AM$1),MONTH(AM$1)+InfoM!$H9,InfoM!$I9)</f>
        <v>35125</v>
      </c>
      <c r="AN12" s="30">
        <f ca="1">DATE(YEAR(AN$1),MONTH(AN$1)+InfoM!$H9,InfoM!$I9)</f>
        <v>35156</v>
      </c>
      <c r="AO12" s="30">
        <f ca="1">DATE(YEAR(AO$1),MONTH(AO$1)+InfoM!$H9,InfoM!$I9)</f>
        <v>35186</v>
      </c>
      <c r="AP12" s="30">
        <f ca="1">DATE(YEAR(AP$1),MONTH(AP$1)+InfoM!$H9,InfoM!$I9)</f>
        <v>35217</v>
      </c>
      <c r="AQ12" s="30">
        <f ca="1">DATE(YEAR(AQ$1),MONTH(AQ$1)+InfoM!$H9,InfoM!$I9)</f>
        <v>35247</v>
      </c>
      <c r="AR12" s="30">
        <f ca="1">DATE(YEAR(AR$1),MONTH(AR$1)+InfoM!$H9,InfoM!$I9)</f>
        <v>35278</v>
      </c>
      <c r="AS12" s="30">
        <f ca="1">DATE(YEAR(AS$1),MONTH(AS$1)+InfoM!$H9,InfoM!$I9)</f>
        <v>35309</v>
      </c>
      <c r="AT12" s="30">
        <f ca="1">DATE(YEAR(AT$1),MONTH(AT$1)+InfoM!$H9,InfoM!$I9)</f>
        <v>35339</v>
      </c>
      <c r="AU12" s="30">
        <f ca="1">DATE(YEAR(AU$1),MONTH(AU$1)+InfoM!$H9,InfoM!$I9)</f>
        <v>35370</v>
      </c>
      <c r="AV12" s="30">
        <f ca="1">DATE(YEAR(AV$1),MONTH(AV$1)+InfoM!$H9,InfoM!$I9)</f>
        <v>35400</v>
      </c>
      <c r="AW12" s="30">
        <f ca="1">DATE(YEAR(AW$1),MONTH(AW$1)+InfoM!$H9,InfoM!$I9)</f>
        <v>35431</v>
      </c>
      <c r="AX12" s="30">
        <f ca="1">DATE(YEAR(AX$1),MONTH(AX$1)+InfoM!$H9,InfoM!$I9)</f>
        <v>35462</v>
      </c>
      <c r="AY12" s="30">
        <f ca="1">DATE(YEAR(AY$1),MONTH(AY$1)+InfoM!$H9,InfoM!$I9)</f>
        <v>35490</v>
      </c>
      <c r="AZ12" s="30">
        <f ca="1">DATE(YEAR(AZ$1),MONTH(AZ$1)+InfoM!$H9,InfoM!$I9)</f>
        <v>35521</v>
      </c>
      <c r="BA12" s="30">
        <f ca="1">DATE(YEAR(BA$1),MONTH(BA$1)+InfoM!$H9,InfoM!$I9)</f>
        <v>35551</v>
      </c>
      <c r="BB12" s="30">
        <f ca="1">DATE(YEAR(BB$1),MONTH(BB$1)+InfoM!$H9,InfoM!$I9)</f>
        <v>35582</v>
      </c>
      <c r="BC12" s="30">
        <f ca="1">DATE(YEAR(BC$1),MONTH(BC$1)+InfoM!$H9,InfoM!$I9)</f>
        <v>35612</v>
      </c>
      <c r="BD12" s="30">
        <f ca="1">DATE(YEAR(BD$1),MONTH(BD$1)+InfoM!$H9,InfoM!$I9)</f>
        <v>35643</v>
      </c>
      <c r="BE12" s="30">
        <f ca="1">DATE(YEAR(BE$1),MONTH(BE$1)+InfoM!$H9,InfoM!$I9)</f>
        <v>35674</v>
      </c>
      <c r="BF12" s="30">
        <f ca="1">DATE(YEAR(BF$1),MONTH(BF$1)+InfoM!$H9,InfoM!$I9)</f>
        <v>35704</v>
      </c>
      <c r="BG12" s="30">
        <f ca="1">DATE(YEAR(BG$1),MONTH(BG$1)+InfoM!$H9,InfoM!$I9)</f>
        <v>35735</v>
      </c>
      <c r="BH12" s="30">
        <f ca="1">DATE(YEAR(BH$1),MONTH(BH$1)+InfoM!$H9,InfoM!$I9)</f>
        <v>35765</v>
      </c>
      <c r="BI12" s="30">
        <f ca="1">DATE(YEAR(BI$1),MONTH(BI$1)+InfoM!$H9,InfoM!$I9)</f>
        <v>35796</v>
      </c>
      <c r="BJ12" s="30">
        <f ca="1">DATE(YEAR(BJ$1),MONTH(BJ$1)+InfoM!$H9,InfoM!$I9)</f>
        <v>35827</v>
      </c>
      <c r="BK12" s="30">
        <f ca="1">DATE(YEAR(BK$1),MONTH(BK$1)+InfoM!$H9,InfoM!$I9)</f>
        <v>35855</v>
      </c>
      <c r="BL12" s="30">
        <f ca="1">DATE(YEAR(BL$1),MONTH(BL$1)+InfoM!$H9,InfoM!$I9)</f>
        <v>35886</v>
      </c>
      <c r="BM12" s="30">
        <f ca="1">DATE(YEAR(BM$1),MONTH(BM$1)+InfoM!$H9,InfoM!$I9)</f>
        <v>35916</v>
      </c>
      <c r="BN12" s="30">
        <f ca="1">DATE(YEAR(BN$1),MONTH(BN$1)+InfoM!$H9,InfoM!$I9)</f>
        <v>35947</v>
      </c>
      <c r="BO12" s="30">
        <f ca="1">DATE(YEAR(BO$1),MONTH(BO$1)+InfoM!$H9,InfoM!$I9)</f>
        <v>35977</v>
      </c>
      <c r="BP12" s="30">
        <f ca="1">DATE(YEAR(BP$1),MONTH(BP$1)+InfoM!$H9,InfoM!$I9)</f>
        <v>36008</v>
      </c>
      <c r="BQ12" s="30">
        <f ca="1">DATE(YEAR(BQ$1),MONTH(BQ$1)+InfoM!$H9,InfoM!$I9)</f>
        <v>36039</v>
      </c>
      <c r="BR12" s="30">
        <f ca="1">DATE(YEAR(BR$1),MONTH(BR$1)+InfoM!$H9,InfoM!$I9)</f>
        <v>36069</v>
      </c>
      <c r="BS12" s="30">
        <f ca="1">DATE(YEAR(BS$1),MONTH(BS$1)+InfoM!$H9,InfoM!$I9)</f>
        <v>36100</v>
      </c>
      <c r="BT12" s="30">
        <f ca="1">DATE(YEAR(BT$1),MONTH(BT$1)+InfoM!$H9,InfoM!$I9)</f>
        <v>36130</v>
      </c>
      <c r="BU12" s="30">
        <f ca="1">DATE(YEAR(BU$1),MONTH(BU$1)+InfoM!$H9,InfoM!$I9)</f>
        <v>36161</v>
      </c>
      <c r="BV12" s="30">
        <f ca="1">DATE(YEAR(BV$1),MONTH(BV$1)+InfoM!$H9,InfoM!$I9)</f>
        <v>36192</v>
      </c>
      <c r="BW12" s="30">
        <f ca="1">DATE(YEAR(BW$1),MONTH(BW$1)+InfoM!$H9,InfoM!$I9)</f>
        <v>36220</v>
      </c>
      <c r="BX12" s="30">
        <f ca="1">DATE(YEAR(BX$1),MONTH(BX$1)+InfoM!$H9,InfoM!$I9)</f>
        <v>36251</v>
      </c>
      <c r="BY12" s="30">
        <f ca="1">DATE(YEAR(BY$1),MONTH(BY$1)+InfoM!$H9,InfoM!$I9)</f>
        <v>36281</v>
      </c>
      <c r="BZ12" s="30">
        <f ca="1">DATE(YEAR(BZ$1),MONTH(BZ$1)+InfoM!$H9,InfoM!$I9)</f>
        <v>36312</v>
      </c>
      <c r="CA12" s="30">
        <f ca="1">DATE(YEAR(CA$1),MONTH(CA$1)+InfoM!$H9,InfoM!$I9)</f>
        <v>36342</v>
      </c>
      <c r="CB12" s="30">
        <f ca="1">DATE(YEAR(CB$1),MONTH(CB$1)+InfoM!$H9,InfoM!$I9)</f>
        <v>36373</v>
      </c>
      <c r="CC12" s="30">
        <f ca="1">DATE(YEAR(CC$1),MONTH(CC$1)+InfoM!$H9,InfoM!$I9)</f>
        <v>36404</v>
      </c>
      <c r="CD12" s="30">
        <f ca="1">DATE(YEAR(CD$1),MONTH(CD$1)+InfoM!$H9,InfoM!$I9)</f>
        <v>36434</v>
      </c>
      <c r="CE12" s="30">
        <f ca="1">DATE(YEAR(CE$1),MONTH(CE$1)+InfoM!$H9,InfoM!$I9)</f>
        <v>36465</v>
      </c>
      <c r="CF12" s="30">
        <f ca="1">DATE(YEAR(CF$1),MONTH(CF$1)+InfoM!$H9,InfoM!$I9)</f>
        <v>36495</v>
      </c>
      <c r="CG12" s="30">
        <f ca="1">DATE(YEAR(CG$1),MONTH(CG$1)+InfoM!$H9,InfoM!$I9)</f>
        <v>36526</v>
      </c>
      <c r="CH12" s="30">
        <f ca="1">DATE(YEAR(CH$1),MONTH(CH$1)+InfoM!$H9,InfoM!$I9)</f>
        <v>36557</v>
      </c>
      <c r="CI12" s="30">
        <f ca="1">DATE(YEAR(CI$1),MONTH(CI$1)+InfoM!$H9,InfoM!$I9)</f>
        <v>36586</v>
      </c>
      <c r="CJ12" s="30">
        <f ca="1">DATE(YEAR(CJ$1),MONTH(CJ$1)+InfoM!$H9,InfoM!$I9)</f>
        <v>36617</v>
      </c>
      <c r="CK12" s="30">
        <f ca="1">DATE(YEAR(CK$1),MONTH(CK$1)+InfoM!$H9,InfoM!$I9)</f>
        <v>36647</v>
      </c>
      <c r="CL12" s="30">
        <f ca="1">DATE(YEAR(CL$1),MONTH(CL$1)+InfoM!$H9,InfoM!$I9)</f>
        <v>36678</v>
      </c>
      <c r="CM12" s="30">
        <f ca="1">DATE(YEAR(CM$1),MONTH(CM$1)+InfoM!$H9,InfoM!$I9)</f>
        <v>36708</v>
      </c>
      <c r="CN12" s="30">
        <f ca="1">DATE(YEAR(CN$1),MONTH(CN$1)+InfoM!$H9,InfoM!$I9)</f>
        <v>36739</v>
      </c>
      <c r="CO12" s="30">
        <f ca="1">DATE(YEAR(CO$1),MONTH(CO$1)+InfoM!$H9,InfoM!$I9)</f>
        <v>36770</v>
      </c>
      <c r="CP12" s="30">
        <f ca="1">DATE(YEAR(CP$1),MONTH(CP$1)+InfoM!$H9,InfoM!$I9)</f>
        <v>36800</v>
      </c>
      <c r="CQ12" s="30">
        <f ca="1">DATE(YEAR(CQ$1),MONTH(CQ$1)+InfoM!$H9,InfoM!$I9)</f>
        <v>36831</v>
      </c>
      <c r="CR12" s="30">
        <f ca="1">DATE(YEAR(CR$1),MONTH(CR$1)+InfoM!$H9,InfoM!$I9)</f>
        <v>36861</v>
      </c>
      <c r="CS12" s="30">
        <f ca="1">DATE(YEAR(CS$1),MONTH(CS$1)+InfoM!$H9,InfoM!$I9)</f>
        <v>36892</v>
      </c>
      <c r="CT12" s="30">
        <f ca="1">DATE(YEAR(CT$1),MONTH(CT$1)+InfoM!$H9,InfoM!$I9)</f>
        <v>36923</v>
      </c>
      <c r="CU12" s="30">
        <f ca="1">DATE(YEAR(CU$1),MONTH(CU$1)+InfoM!$H9,InfoM!$I9)</f>
        <v>36951</v>
      </c>
      <c r="CV12" s="30">
        <f ca="1">DATE(YEAR(CV$1),MONTH(CV$1)+InfoM!$H9,InfoM!$I9)</f>
        <v>36982</v>
      </c>
      <c r="CW12" s="30">
        <f ca="1">DATE(YEAR(CW$1),MONTH(CW$1)+InfoM!$H9,InfoM!$I9)</f>
        <v>37012</v>
      </c>
      <c r="CX12" s="30">
        <f ca="1">DATE(YEAR(CX$1),MONTH(CX$1)+InfoM!$H9,InfoM!$I9)</f>
        <v>37043</v>
      </c>
      <c r="CY12" s="30">
        <f ca="1">DATE(YEAR(CY$1),MONTH(CY$1)+InfoM!$H9,InfoM!$I9)</f>
        <v>37073</v>
      </c>
      <c r="CZ12" s="30">
        <f ca="1">DATE(YEAR(CZ$1),MONTH(CZ$1)+InfoM!$H9,InfoM!$I9)</f>
        <v>37104</v>
      </c>
      <c r="DA12" s="30">
        <f ca="1">DATE(YEAR(DA$1),MONTH(DA$1)+InfoM!$H9,InfoM!$I9)</f>
        <v>37135</v>
      </c>
      <c r="DB12" s="30">
        <f ca="1">DATE(YEAR(DB$1),MONTH(DB$1)+InfoM!$H9,InfoM!$I9)</f>
        <v>37165</v>
      </c>
      <c r="DC12" s="30">
        <f ca="1">DATE(YEAR(DC$1),MONTH(DC$1)+InfoM!$H9,InfoM!$I9)</f>
        <v>37196</v>
      </c>
      <c r="DD12" s="30">
        <f ca="1">DATE(YEAR(DD$1),MONTH(DD$1)+InfoM!$H9,InfoM!$I9)</f>
        <v>37226</v>
      </c>
      <c r="DE12" s="30">
        <f ca="1">DATE(YEAR(DE$1),MONTH(DE$1)+InfoM!$H9,InfoM!$I9)</f>
        <v>37257</v>
      </c>
      <c r="DF12" s="30">
        <f ca="1">DATE(YEAR(DF$1),MONTH(DF$1)+InfoM!$H9,InfoM!$I9)</f>
        <v>37288</v>
      </c>
      <c r="DG12" s="30">
        <f ca="1">DATE(YEAR(DG$1),MONTH(DG$1)+InfoM!$H9,InfoM!$I9)</f>
        <v>37316</v>
      </c>
      <c r="DH12" s="30">
        <f ca="1">DATE(YEAR(DH$1),MONTH(DH$1)+InfoM!$H9,InfoM!$I9)</f>
        <v>37347</v>
      </c>
      <c r="DI12" s="30">
        <f ca="1">DATE(YEAR(DI$1),MONTH(DI$1)+InfoM!$H9,InfoM!$I9)</f>
        <v>37377</v>
      </c>
      <c r="DJ12" s="30">
        <f ca="1">DATE(YEAR(DJ$1),MONTH(DJ$1)+InfoM!$H9,InfoM!$I9)</f>
        <v>37408</v>
      </c>
      <c r="DK12" s="30">
        <f ca="1">DATE(YEAR(DK$1),MONTH(DK$1)+InfoM!$H9,InfoM!$I9)</f>
        <v>37438</v>
      </c>
      <c r="DL12" s="30">
        <f ca="1">DATE(YEAR(DL$1),MONTH(DL$1)+InfoM!$H9,InfoM!$I9)</f>
        <v>37469</v>
      </c>
      <c r="DM12" s="30">
        <f ca="1">DATE(YEAR(DM$1),MONTH(DM$1)+InfoM!$H9,InfoM!$I9)</f>
        <v>37500</v>
      </c>
      <c r="DN12" s="30">
        <f ca="1">DATE(YEAR(DN$1),MONTH(DN$1)+InfoM!$H9,InfoM!$I9)</f>
        <v>37530</v>
      </c>
      <c r="DO12" s="30">
        <f ca="1">DATE(YEAR(DO$1),MONTH(DO$1)+InfoM!$H9,InfoM!$I9)</f>
        <v>37561</v>
      </c>
      <c r="DP12" s="30">
        <f ca="1">DATE(YEAR(DP$1),MONTH(DP$1)+InfoM!$H9,InfoM!$I9)</f>
        <v>37591</v>
      </c>
      <c r="DQ12" s="30">
        <f ca="1">DATE(YEAR(DQ$1),MONTH(DQ$1)+InfoM!$H9,InfoM!$I9)</f>
        <v>37622</v>
      </c>
      <c r="DR12" s="30">
        <f ca="1">DATE(YEAR(DR$1),MONTH(DR$1)+InfoM!$H9,InfoM!$I9)</f>
        <v>37653</v>
      </c>
      <c r="DS12" s="30">
        <f ca="1">DATE(YEAR(DS$1),MONTH(DS$1)+InfoM!$H9,InfoM!$I9)</f>
        <v>37681</v>
      </c>
      <c r="DT12" s="30">
        <f ca="1">DATE(YEAR(DT$1),MONTH(DT$1)+InfoM!$H9,InfoM!$I9)</f>
        <v>37712</v>
      </c>
      <c r="DU12" s="30">
        <f ca="1">DATE(YEAR(DU$1),MONTH(DU$1)+InfoM!$H9,InfoM!$I9)</f>
        <v>37742</v>
      </c>
      <c r="DV12" s="30">
        <f ca="1">DATE(YEAR(DV$1),MONTH(DV$1)+InfoM!$H9,InfoM!$I9)</f>
        <v>37773</v>
      </c>
      <c r="DW12" s="30">
        <f ca="1">DATE(YEAR(DW$1),MONTH(DW$1)+InfoM!$H9,InfoM!$I9)</f>
        <v>37803</v>
      </c>
      <c r="DX12" s="30">
        <f ca="1">DATE(YEAR(DX$1),MONTH(DX$1)+InfoM!$H9,InfoM!$I9)</f>
        <v>37834</v>
      </c>
      <c r="DY12" s="30">
        <f ca="1">DATE(YEAR(DY$1),MONTH(DY$1)+InfoM!$H9,InfoM!$I9)</f>
        <v>37865</v>
      </c>
      <c r="DZ12" s="30">
        <f ca="1">DATE(YEAR(DZ$1),MONTH(DZ$1)+InfoM!$H9,InfoM!$I9)</f>
        <v>37895</v>
      </c>
      <c r="EA12" s="30">
        <f ca="1">DATE(YEAR(EA$1),MONTH(EA$1)+InfoM!$H9,InfoM!$I9)</f>
        <v>37926</v>
      </c>
      <c r="EB12" s="30">
        <f ca="1">DATE(YEAR(EB$1),MONTH(EB$1)+InfoM!$H9,InfoM!$I9)</f>
        <v>37956</v>
      </c>
      <c r="EC12" s="30">
        <f ca="1">DATE(YEAR(EC$1),MONTH(EC$1)+InfoM!$H9,InfoM!$I9)</f>
        <v>37987</v>
      </c>
      <c r="ED12" s="30">
        <f ca="1">DATE(YEAR(ED$1),MONTH(ED$1)+InfoM!$H9,InfoM!$I9)</f>
        <v>38018</v>
      </c>
      <c r="EE12" s="30">
        <f ca="1">DATE(YEAR(EE$1),MONTH(EE$1)+InfoM!$H9,InfoM!$I9)</f>
        <v>38047</v>
      </c>
      <c r="EF12" s="30">
        <f ca="1">DATE(YEAR(EF$1),MONTH(EF$1)+InfoM!$H9,InfoM!$I9)</f>
        <v>38078</v>
      </c>
      <c r="EG12" s="30">
        <f ca="1">DATE(YEAR(EG$1),MONTH(EG$1)+InfoM!$H9,InfoM!$I9)</f>
        <v>38108</v>
      </c>
      <c r="EH12" s="30">
        <f ca="1">DATE(YEAR(EH$1),MONTH(EH$1)+InfoM!$H9,InfoM!$I9)</f>
        <v>38139</v>
      </c>
      <c r="EI12" s="30">
        <f ca="1">DATE(YEAR(EI$1),MONTH(EI$1)+InfoM!$H9,InfoM!$I9)</f>
        <v>38169</v>
      </c>
      <c r="EJ12" s="30">
        <f ca="1">DATE(YEAR(EJ$1),MONTH(EJ$1)+InfoM!$H9,InfoM!$I9)</f>
        <v>38200</v>
      </c>
      <c r="EK12" s="30">
        <f ca="1">DATE(YEAR(EK$1),MONTH(EK$1)+InfoM!$H9,InfoM!$I9)</f>
        <v>38231</v>
      </c>
      <c r="EL12" s="30">
        <f ca="1">DATE(YEAR(EL$1),MONTH(EL$1)+InfoM!$H9,InfoM!$I9)</f>
        <v>38261</v>
      </c>
      <c r="EM12" s="30">
        <f ca="1">DATE(YEAR(EM$1),MONTH(EM$1)+InfoM!$H9,InfoM!$I9)</f>
        <v>38292</v>
      </c>
      <c r="EN12" s="30">
        <f ca="1">DATE(YEAR(EN$1),MONTH(EN$1)+InfoM!$H9,InfoM!$I9)</f>
        <v>38322</v>
      </c>
      <c r="EO12" s="30">
        <f ca="1">DATE(YEAR(EO$1),MONTH(EO$1)+InfoM!$H9,InfoM!$I9)</f>
        <v>38353</v>
      </c>
      <c r="EP12" s="30">
        <f ca="1">DATE(YEAR(EP$1),MONTH(EP$1)+InfoM!$H9,InfoM!$I9)</f>
        <v>38384</v>
      </c>
      <c r="EQ12" s="30">
        <f ca="1">DATE(YEAR(EQ$1),MONTH(EQ$1)+InfoM!$H9,InfoM!$I9)</f>
        <v>38412</v>
      </c>
      <c r="ER12" s="30">
        <f ca="1">DATE(YEAR(ER$1),MONTH(ER$1)+InfoM!$H9,InfoM!$I9)</f>
        <v>38443</v>
      </c>
      <c r="ES12" s="30">
        <f ca="1">DATE(YEAR(ES$1),MONTH(ES$1)+InfoM!$H9,InfoM!$I9)</f>
        <v>38473</v>
      </c>
      <c r="ET12" s="30">
        <f ca="1">DATE(YEAR(ET$1),MONTH(ET$1)+InfoM!$H9,InfoM!$I9)</f>
        <v>38504</v>
      </c>
      <c r="EU12" s="30">
        <f ca="1">DATE(YEAR(EU$1),MONTH(EU$1)+InfoM!$H9,InfoM!$I9)</f>
        <v>38534</v>
      </c>
      <c r="EV12" s="30">
        <f ca="1">DATE(YEAR(EV$1),MONTH(EV$1)+InfoM!$H9,InfoM!$I9)</f>
        <v>38565</v>
      </c>
      <c r="EW12" s="30">
        <f ca="1">DATE(YEAR(EW$1),MONTH(EW$1)+InfoM!$H9,InfoM!$I9)</f>
        <v>38596</v>
      </c>
      <c r="EX12" s="30">
        <f ca="1">DATE(YEAR(EX$1),MONTH(EX$1)+InfoM!$H9,InfoM!$I9)</f>
        <v>38626</v>
      </c>
      <c r="EY12" s="30">
        <f ca="1">DATE(YEAR(EY$1),MONTH(EY$1)+InfoM!$H9,InfoM!$I9)</f>
        <v>38657</v>
      </c>
      <c r="EZ12" s="30">
        <f ca="1">DATE(YEAR(EZ$1),MONTH(EZ$1)+InfoM!$H9,InfoM!$I9)</f>
        <v>38687</v>
      </c>
      <c r="FA12" s="30">
        <f ca="1">DATE(YEAR(FA$1),MONTH(FA$1)+InfoM!$H9,InfoM!$I9)</f>
        <v>38718</v>
      </c>
      <c r="FB12" s="30">
        <f ca="1">DATE(YEAR(FB$1),MONTH(FB$1)+InfoM!$H9,InfoM!$I9)</f>
        <v>38749</v>
      </c>
      <c r="FC12" s="30">
        <f ca="1">DATE(YEAR(FC$1),MONTH(FC$1)+InfoM!$H9,InfoM!$I9)</f>
        <v>38777</v>
      </c>
      <c r="FD12" s="30">
        <f ca="1">DATE(YEAR(FD$1),MONTH(FD$1)+InfoM!$H9,InfoM!$I9)</f>
        <v>38808</v>
      </c>
      <c r="FE12" s="30">
        <f ca="1">DATE(YEAR(FE$1),MONTH(FE$1)+InfoM!$H9,InfoM!$I9)</f>
        <v>38838</v>
      </c>
      <c r="FF12" s="30">
        <f ca="1">DATE(YEAR(FF$1),MONTH(FF$1)+InfoM!$H9,InfoM!$I9)</f>
        <v>38869</v>
      </c>
      <c r="FG12" s="30">
        <f ca="1">DATE(YEAR(FG$1),MONTH(FG$1)+InfoM!$H9,InfoM!$I9)</f>
        <v>38899</v>
      </c>
      <c r="FH12" s="30">
        <f ca="1">DATE(YEAR(FH$1),MONTH(FH$1)+InfoM!$H9,InfoM!$I9)</f>
        <v>38930</v>
      </c>
      <c r="FI12" s="30">
        <f ca="1">DATE(YEAR(FI$1),MONTH(FI$1)+InfoM!$H9,InfoM!$I9)</f>
        <v>38961</v>
      </c>
      <c r="FJ12" s="30">
        <f ca="1">DATE(YEAR(FJ$1),MONTH(FJ$1)+InfoM!$H9,InfoM!$I9)</f>
        <v>38991</v>
      </c>
      <c r="FK12" s="30">
        <f ca="1">DATE(YEAR(FK$1),MONTH(FK$1)+InfoM!$H9,InfoM!$I9)</f>
        <v>39022</v>
      </c>
      <c r="FL12" s="30">
        <f ca="1">DATE(YEAR(FL$1),MONTH(FL$1)+InfoM!$H9,InfoM!$I9)</f>
        <v>39052</v>
      </c>
      <c r="FM12" s="30">
        <f ca="1">DATE(YEAR(FM$1),MONTH(FM$1)+InfoM!$H9,InfoM!$I9)</f>
        <v>39083</v>
      </c>
      <c r="FN12" s="30">
        <f ca="1">DATE(YEAR(FN$1),MONTH(FN$1)+InfoM!$H9,InfoM!$I9)</f>
        <v>39114</v>
      </c>
      <c r="FO12" s="30">
        <f ca="1">DATE(YEAR(FO$1),MONTH(FO$1)+InfoM!$H9,InfoM!$I9)</f>
        <v>39142</v>
      </c>
      <c r="FP12" s="30">
        <f ca="1">DATE(YEAR(FP$1),MONTH(FP$1)+InfoM!$H9,InfoM!$I9)</f>
        <v>39173</v>
      </c>
      <c r="FQ12" s="30">
        <f ca="1">DATE(YEAR(FQ$1),MONTH(FQ$1)+InfoM!$H9,InfoM!$I9)</f>
        <v>39203</v>
      </c>
      <c r="FR12" s="30">
        <f ca="1">DATE(YEAR(FR$1),MONTH(FR$1)+InfoM!$H9,InfoM!$I9)</f>
        <v>39234</v>
      </c>
      <c r="FS12" s="30">
        <f ca="1">DATE(YEAR(FS$1),MONTH(FS$1)+InfoM!$H9,InfoM!$I9)</f>
        <v>39264</v>
      </c>
      <c r="FT12" s="30">
        <f ca="1">DATE(YEAR(FT$1),MONTH(FT$1)+InfoM!$H9,InfoM!$I9)</f>
        <v>39295</v>
      </c>
      <c r="FU12" s="30">
        <f ca="1">DATE(YEAR(FU$1),MONTH(FU$1)+InfoM!$H9,InfoM!$I9)</f>
        <v>39326</v>
      </c>
      <c r="FV12" s="30">
        <f ca="1">DATE(YEAR(FV$1),MONTH(FV$1)+InfoM!$H9,InfoM!$I9)</f>
        <v>39356</v>
      </c>
      <c r="FW12" s="30">
        <f ca="1">DATE(YEAR(FW$1),MONTH(FW$1)+InfoM!$H9,InfoM!$I9)</f>
        <v>39387</v>
      </c>
      <c r="FX12" s="30">
        <f ca="1">DATE(YEAR(FX$1),MONTH(FX$1)+InfoM!$H9,InfoM!$I9)</f>
        <v>39417</v>
      </c>
      <c r="FY12" s="30">
        <f ca="1">DATE(YEAR(FY$1),MONTH(FY$1)+InfoM!$H9,InfoM!$I9)</f>
        <v>39448</v>
      </c>
      <c r="FZ12" s="30">
        <f ca="1">DATE(YEAR(FZ$1),MONTH(FZ$1)+InfoM!$H9,InfoM!$I9)</f>
        <v>39479</v>
      </c>
      <c r="GA12" s="30">
        <f ca="1">DATE(YEAR(GA$1),MONTH(GA$1)+InfoM!$H9,InfoM!$I9)</f>
        <v>39508</v>
      </c>
      <c r="GB12" s="30">
        <f ca="1">DATE(YEAR(GB$1),MONTH(GB$1)+InfoM!$H9,InfoM!$I9)</f>
        <v>39539</v>
      </c>
      <c r="GC12" s="30">
        <f ca="1">DATE(YEAR(GC$1),MONTH(GC$1)+InfoM!$H9,InfoM!$I9)</f>
        <v>39569</v>
      </c>
      <c r="GD12" s="30">
        <f ca="1">DATE(YEAR(GD$1),MONTH(GD$1)+InfoM!$H9,InfoM!$I9)</f>
        <v>39600</v>
      </c>
      <c r="GE12" s="30">
        <f ca="1">DATE(YEAR(GE$1),MONTH(GE$1)+InfoM!$H9,InfoM!$I9)</f>
        <v>39630</v>
      </c>
      <c r="GF12" s="30">
        <f ca="1">DATE(YEAR(GF$1),MONTH(GF$1)+InfoM!$H9,InfoM!$I9)</f>
        <v>39661</v>
      </c>
      <c r="GG12" s="30">
        <f ca="1">DATE(YEAR(GG$1),MONTH(GG$1)+InfoM!$H9,InfoM!$I9)</f>
        <v>39692</v>
      </c>
      <c r="GH12" s="30">
        <f ca="1">DATE(YEAR(GH$1),MONTH(GH$1)+InfoM!$H9,InfoM!$I9)</f>
        <v>39722</v>
      </c>
      <c r="GI12" s="30">
        <f ca="1">DATE(YEAR(GI$1),MONTH(GI$1)+InfoM!$H9,InfoM!$I9)</f>
        <v>39753</v>
      </c>
      <c r="GJ12" s="30">
        <f ca="1">DATE(YEAR(GJ$1),MONTH(GJ$1)+InfoM!$H9,InfoM!$I9)</f>
        <v>39783</v>
      </c>
      <c r="GK12" s="30">
        <f ca="1">DATE(YEAR(GK$1),MONTH(GK$1)+InfoM!$H9,InfoM!$I9)</f>
        <v>39814</v>
      </c>
      <c r="GL12" s="30">
        <f ca="1">DATE(YEAR(GL$1),MONTH(GL$1)+InfoM!$H9,InfoM!$I9)</f>
        <v>39845</v>
      </c>
      <c r="GM12" s="30">
        <f ca="1">DATE(YEAR(GM$1),MONTH(GM$1)+InfoM!$H9,InfoM!$I9)</f>
        <v>39873</v>
      </c>
      <c r="GN12" s="30">
        <f ca="1">DATE(YEAR(GN$1),MONTH(GN$1)+InfoM!$H9,InfoM!$I9)</f>
        <v>39904</v>
      </c>
      <c r="GO12" s="30">
        <f ca="1">DATE(YEAR(GO$1),MONTH(GO$1)+InfoM!$H9,InfoM!$I9)</f>
        <v>39934</v>
      </c>
      <c r="GP12" s="30">
        <f ca="1">DATE(YEAR(GP$1),MONTH(GP$1)+InfoM!$H9,InfoM!$I9)</f>
        <v>39965</v>
      </c>
      <c r="GQ12" s="30">
        <f ca="1">DATE(YEAR(GQ$1),MONTH(GQ$1)+InfoM!$H9,InfoM!$I9)</f>
        <v>39995</v>
      </c>
      <c r="GR12" s="30">
        <f ca="1">DATE(YEAR(GR$1),MONTH(GR$1)+InfoM!$H9,InfoM!$I9)</f>
        <v>40026</v>
      </c>
      <c r="GS12" s="30">
        <f ca="1">DATE(YEAR(GS$1),MONTH(GS$1)+InfoM!$H9,InfoM!$I9)</f>
        <v>40057</v>
      </c>
      <c r="GT12" s="30">
        <f ca="1">DATE(YEAR(GT$1),MONTH(GT$1)+InfoM!$H9,InfoM!$I9)</f>
        <v>40087</v>
      </c>
      <c r="GU12" s="30">
        <f ca="1">DATE(YEAR(GU$1),MONTH(GU$1)+InfoM!$H9,InfoM!$I9)</f>
        <v>40118</v>
      </c>
      <c r="GV12" s="30">
        <f ca="1">DATE(YEAR(GV$1),MONTH(GV$1)+InfoM!$H9,InfoM!$I9)</f>
        <v>40148</v>
      </c>
      <c r="GW12" s="30">
        <f ca="1">DATE(YEAR(GW$1),MONTH(GW$1)+InfoM!$H9,InfoM!$I9)</f>
        <v>40179</v>
      </c>
      <c r="GX12" s="30">
        <f ca="1">DATE(YEAR(GX$1),MONTH(GX$1)+InfoM!$H9,InfoM!$I9)</f>
        <v>40210</v>
      </c>
      <c r="GY12" s="30">
        <f ca="1">DATE(YEAR(GY$1),MONTH(GY$1)+InfoM!$H9,InfoM!$I9)</f>
        <v>40238</v>
      </c>
      <c r="GZ12" s="30">
        <f ca="1">DATE(YEAR(GZ$1),MONTH(GZ$1)+InfoM!$H9,InfoM!$I9)</f>
        <v>40269</v>
      </c>
      <c r="HA12" s="30">
        <f ca="1">DATE(YEAR(HA$1),MONTH(HA$1)+InfoM!$H9,InfoM!$I9)</f>
        <v>40299</v>
      </c>
      <c r="HB12" s="30">
        <f ca="1">DATE(YEAR(HB$1),MONTH(HB$1)+InfoM!$H9,InfoM!$I9)</f>
        <v>40330</v>
      </c>
      <c r="HC12" s="30">
        <f ca="1">DATE(YEAR(HC$1),MONTH(HC$1)+InfoM!$H9,InfoM!$I9)</f>
        <v>40360</v>
      </c>
      <c r="HD12" s="30">
        <f ca="1">DATE(YEAR(HD$1),MONTH(HD$1)+InfoM!$H9,InfoM!$I9)</f>
        <v>40391</v>
      </c>
      <c r="HE12" s="30">
        <f ca="1">DATE(YEAR(HE$1),MONTH(HE$1)+InfoM!$H9,InfoM!$I9)</f>
        <v>40422</v>
      </c>
      <c r="HF12" s="30">
        <f ca="1">DATE(YEAR(HF$1),MONTH(HF$1)+InfoM!$H9,InfoM!$I9)</f>
        <v>40452</v>
      </c>
      <c r="HG12" s="30">
        <f ca="1">DATE(YEAR(HG$1),MONTH(HG$1)+InfoM!$H9,InfoM!$I9)</f>
        <v>40483</v>
      </c>
      <c r="HH12" s="30">
        <f ca="1">DATE(YEAR(HH$1),MONTH(HH$1)+InfoM!$H9,InfoM!$I9)</f>
        <v>40513</v>
      </c>
      <c r="HI12" s="30">
        <f ca="1">DATE(YEAR(HI$1),MONTH(HI$1)+InfoM!$H9,InfoM!$I9)</f>
        <v>40544</v>
      </c>
      <c r="HJ12" s="30">
        <f ca="1">DATE(YEAR(HJ$1),MONTH(HJ$1)+InfoM!$H9,InfoM!$I9)</f>
        <v>40575</v>
      </c>
      <c r="HK12" s="30">
        <f ca="1">DATE(YEAR(HK$1),MONTH(HK$1)+InfoM!$H9,InfoM!$I9)</f>
        <v>40603</v>
      </c>
      <c r="HL12" s="30">
        <f ca="1">DATE(YEAR(HL$1),MONTH(HL$1)+InfoM!$H9,InfoM!$I9)</f>
        <v>40634</v>
      </c>
      <c r="HM12" s="30">
        <f ca="1">DATE(YEAR(HM$1),MONTH(HM$1)+InfoM!$H9,InfoM!$I9)</f>
        <v>40664</v>
      </c>
      <c r="HN12" s="30">
        <f ca="1">DATE(YEAR(HN$1),MONTH(HN$1)+InfoM!$H9,InfoM!$I9)</f>
        <v>40695</v>
      </c>
      <c r="HO12" s="30">
        <f ca="1">DATE(YEAR(HO$1),MONTH(HO$1)+InfoM!$H9,InfoM!$I9)</f>
        <v>40725</v>
      </c>
      <c r="HP12" s="30">
        <f ca="1">DATE(YEAR(HP$1),MONTH(HP$1)+InfoM!$H9,InfoM!$I9)</f>
        <v>40756</v>
      </c>
      <c r="HQ12" s="30">
        <f ca="1">DATE(YEAR(HQ$1),MONTH(HQ$1)+InfoM!$H9,InfoM!$I9)</f>
        <v>40787</v>
      </c>
      <c r="HR12" s="30">
        <f ca="1">DATE(YEAR(HR$1),MONTH(HR$1)+InfoM!$H9,InfoM!$I9)</f>
        <v>40817</v>
      </c>
      <c r="HS12" s="30">
        <f ca="1">DATE(YEAR(HS$1),MONTH(HS$1)+InfoM!$H9,InfoM!$I9)</f>
        <v>40848</v>
      </c>
      <c r="HT12" s="30">
        <f ca="1">DATE(YEAR(HT$1),MONTH(HT$1)+InfoM!$H9,InfoM!$I9)</f>
        <v>40878</v>
      </c>
      <c r="HU12" s="30">
        <f ca="1">DATE(YEAR(HU$1),MONTH(HU$1)+InfoM!$H9,InfoM!$I9)</f>
        <v>40909</v>
      </c>
      <c r="HV12" s="30">
        <f ca="1">DATE(YEAR(HV$1),MONTH(HV$1)+InfoM!$H9,InfoM!$I9)</f>
        <v>40940</v>
      </c>
      <c r="HW12" s="30">
        <f ca="1">DATE(YEAR(HW$1),MONTH(HW$1)+InfoM!$H9,InfoM!$I9)</f>
        <v>40969</v>
      </c>
      <c r="HX12" s="30">
        <f ca="1">DATE(YEAR(HX$1),MONTH(HX$1)+InfoM!$H9,InfoM!$I9)</f>
        <v>41000</v>
      </c>
      <c r="HY12" s="30">
        <f ca="1">DATE(YEAR(HY$1),MONTH(HY$1)+InfoM!$H9,InfoM!$I9)</f>
        <v>41030</v>
      </c>
      <c r="HZ12" s="30">
        <f ca="1">DATE(YEAR(HZ$1),MONTH(HZ$1)+InfoM!$H9,InfoM!$I9)</f>
        <v>41061</v>
      </c>
      <c r="IA12" s="30">
        <f ca="1">DATE(YEAR(IA$1),MONTH(IA$1)+InfoM!$H9,InfoM!$I9)</f>
        <v>41091</v>
      </c>
      <c r="IB12" s="30">
        <f ca="1">DATE(YEAR(IB$1),MONTH(IB$1)+InfoM!$H9,InfoM!$I9)</f>
        <v>41122</v>
      </c>
      <c r="IC12" s="30">
        <f ca="1">DATE(YEAR(IC$1),MONTH(IC$1)+InfoM!$H9,InfoM!$I9)</f>
        <v>41153</v>
      </c>
      <c r="ID12" s="30">
        <f ca="1">DATE(YEAR(ID$1),MONTH(ID$1)+InfoM!$H9,InfoM!$I9)</f>
        <v>41183</v>
      </c>
      <c r="IE12" s="30">
        <f ca="1">DATE(YEAR(IE$1),MONTH(IE$1)+InfoM!$H9,InfoM!$I9)</f>
        <v>41214</v>
      </c>
      <c r="IF12" s="30">
        <f ca="1">DATE(YEAR(IF$1),MONTH(IF$1)+InfoM!$H9,InfoM!$I9)</f>
        <v>41244</v>
      </c>
      <c r="IG12" s="30">
        <f ca="1">DATE(YEAR(IG$1),MONTH(IG$1)+InfoM!$H9,InfoM!$I9)</f>
        <v>41275</v>
      </c>
      <c r="IH12" s="30">
        <f ca="1">DATE(YEAR(IH$1),MONTH(IH$1)+InfoM!$H9,InfoM!$I9)</f>
        <v>41306</v>
      </c>
      <c r="II12" s="30">
        <f ca="1">DATE(YEAR(II$1),MONTH(II$1)+InfoM!$H9,InfoM!$I9)</f>
        <v>41334</v>
      </c>
      <c r="IJ12" s="30">
        <f ca="1">DATE(YEAR(IJ$1),MONTH(IJ$1)+InfoM!$H9,InfoM!$I9)</f>
        <v>41365</v>
      </c>
      <c r="IK12" s="30">
        <f ca="1">DATE(YEAR(IK$1),MONTH(IK$1)+InfoM!$H9,InfoM!$I9)</f>
        <v>41395</v>
      </c>
      <c r="IL12" s="30">
        <f ca="1">DATE(YEAR(IL$1),MONTH(IL$1)+InfoM!$H9,InfoM!$I9)</f>
        <v>41426</v>
      </c>
      <c r="IM12" s="30">
        <f ca="1">DATE(YEAR(IM$1),MONTH(IM$1)+InfoM!$H9,InfoM!$I9)</f>
        <v>41456</v>
      </c>
      <c r="IN12" s="30">
        <f ca="1">DATE(YEAR(IN$1),MONTH(IN$1)+InfoM!$H9,InfoM!$I9)</f>
        <v>41487</v>
      </c>
      <c r="IO12" s="30">
        <f ca="1">DATE(YEAR(IO$1),MONTH(IO$1)+InfoM!$H9,InfoM!$I9)</f>
        <v>41518</v>
      </c>
      <c r="IP12" s="30">
        <f ca="1">DATE(YEAR(IP$1),MONTH(IP$1)+InfoM!$H9,InfoM!$I9)</f>
        <v>41548</v>
      </c>
      <c r="IQ12" s="30">
        <f ca="1">DATE(YEAR(IQ$1),MONTH(IQ$1)+InfoM!$H9,InfoM!$I9)</f>
        <v>41579</v>
      </c>
      <c r="IR12" s="30">
        <f ca="1">DATE(YEAR(IR$1),MONTH(IR$1)+InfoM!$H9,InfoM!$I9)</f>
        <v>41609</v>
      </c>
      <c r="IS12" s="30">
        <f ca="1">DATE(YEAR(IS$1),MONTH(IS$1)+InfoM!$H9,InfoM!$I9)</f>
        <v>41640</v>
      </c>
      <c r="IT12" s="30">
        <f ca="1">DATE(YEAR(IT$1),MONTH(IT$1)+InfoM!$H9,InfoM!$I9)</f>
        <v>41671</v>
      </c>
      <c r="IU12" s="30">
        <f ca="1">DATE(YEAR(IU$1),MONTH(IU$1)+InfoM!$H9,InfoM!$I9)</f>
        <v>41699</v>
      </c>
      <c r="IV12" s="30">
        <f ca="1">DATE(YEAR(IV$1),MONTH(IV$1)+InfoM!$H9,InfoM!$I9)</f>
        <v>41730</v>
      </c>
      <c r="IW12" s="30">
        <f ca="1">DATE(YEAR(IW$1),MONTH(IW$1)+InfoM!$H9,InfoM!$I9)</f>
        <v>41760</v>
      </c>
      <c r="IX12" s="30">
        <f ca="1">DATE(YEAR(IX$1),MONTH(IX$1)+InfoM!$H9,InfoM!$I9)</f>
        <v>41791</v>
      </c>
      <c r="IY12" s="30">
        <f ca="1">DATE(YEAR(IY$1),MONTH(IY$1)+InfoM!$H9,InfoM!$I9)</f>
        <v>41821</v>
      </c>
      <c r="IZ12" s="30">
        <f ca="1">DATE(YEAR(IZ$1),MONTH(IZ$1)+InfoM!$H9,InfoM!$I9)</f>
        <v>41852</v>
      </c>
      <c r="JA12" s="30">
        <f ca="1">DATE(YEAR(JA$1),MONTH(JA$1)+InfoM!$H9,InfoM!$I9)</f>
        <v>41883</v>
      </c>
      <c r="JB12" s="30">
        <f ca="1">DATE(YEAR(JB$1),MONTH(JB$1)+InfoM!$H9,InfoM!$I9)</f>
        <v>41913</v>
      </c>
      <c r="JC12" s="30">
        <f ca="1">DATE(YEAR(JC$1),MONTH(JC$1)+InfoM!$H9,InfoM!$I9)</f>
        <v>41944</v>
      </c>
      <c r="JD12" s="30">
        <f ca="1">DATE(YEAR(JD$1),MONTH(JD$1)+InfoM!$H9,InfoM!$I9)</f>
        <v>41974</v>
      </c>
      <c r="JE12" s="30">
        <f ca="1">DATE(YEAR(JE$1),MONTH(JE$1)+InfoM!$H9,InfoM!$I9)</f>
        <v>42005</v>
      </c>
      <c r="JF12" s="30">
        <f ca="1">DATE(YEAR(JF$1),MONTH(JF$1)+InfoM!$H9,InfoM!$I9)</f>
        <v>42036</v>
      </c>
      <c r="JG12" s="30">
        <f ca="1">DATE(YEAR(JG$1),MONTH(JG$1)+InfoM!$H9,InfoM!$I9)</f>
        <v>42064</v>
      </c>
      <c r="JH12" s="30">
        <f ca="1">DATE(YEAR(JH$1),MONTH(JH$1)+InfoM!$H9,InfoM!$I9)</f>
        <v>42095</v>
      </c>
      <c r="JI12" s="30">
        <f ca="1">DATE(YEAR(JI$1),MONTH(JI$1)+InfoM!$H9,InfoM!$I9)</f>
        <v>42125</v>
      </c>
      <c r="JJ12" s="30">
        <f ca="1">DATE(YEAR(JJ$1),MONTH(JJ$1)+InfoM!$H9,InfoM!$I9)</f>
        <v>42156</v>
      </c>
      <c r="JK12" s="30">
        <f ca="1">DATE(YEAR(JK$1),MONTH(JK$1)+InfoM!$H9,InfoM!$I9)</f>
        <v>42186</v>
      </c>
      <c r="JL12" s="30">
        <f ca="1">DATE(YEAR(JL$1),MONTH(JL$1)+InfoM!$H9,InfoM!$I9)</f>
        <v>42217</v>
      </c>
      <c r="JM12" s="30">
        <f ca="1">DATE(YEAR(JM$1),MONTH(JM$1)+InfoM!$H9,InfoM!$I9)</f>
        <v>42248</v>
      </c>
      <c r="JN12" s="30">
        <f ca="1">DATE(YEAR(JN$1),MONTH(JN$1)+InfoM!$H9,InfoM!$I9)</f>
        <v>42278</v>
      </c>
      <c r="JO12" s="30">
        <f ca="1">DATE(YEAR(JO$1),MONTH(JO$1)+InfoM!$H9,InfoM!$I9)</f>
        <v>42309</v>
      </c>
      <c r="JP12" s="30">
        <f ca="1">DATE(YEAR(JP$1),MONTH(JP$1)+InfoM!$H9,InfoM!$I9)</f>
        <v>42339</v>
      </c>
      <c r="JQ12" s="30">
        <f ca="1">DATE(YEAR(JQ$1),MONTH(JQ$1)+InfoM!$H9,InfoM!$I9)</f>
        <v>42370</v>
      </c>
      <c r="JR12" s="30">
        <f ca="1">DATE(YEAR(JR$1),MONTH(JR$1)+InfoM!$H9,InfoM!$I9)</f>
        <v>42401</v>
      </c>
      <c r="JS12" s="30">
        <f ca="1">DATE(YEAR(JS$1),MONTH(JS$1)+InfoM!$H9,InfoM!$I9)</f>
        <v>42430</v>
      </c>
      <c r="JT12" s="30">
        <f ca="1">DATE(YEAR(JT$1),MONTH(JT$1)+InfoM!$H9,InfoM!$I9)</f>
        <v>42461</v>
      </c>
      <c r="JU12" s="30">
        <f ca="1">DATE(YEAR(JU$1),MONTH(JU$1)+InfoM!$H9,InfoM!$I9)</f>
        <v>42491</v>
      </c>
      <c r="JV12" s="30">
        <f ca="1">DATE(YEAR(JV$1),MONTH(JV$1)+InfoM!$H9,InfoM!$I9)</f>
        <v>42522</v>
      </c>
      <c r="JW12" s="30">
        <f ca="1">DATE(YEAR(JW$1),MONTH(JW$1)+InfoM!$H9,InfoM!$I9)</f>
        <v>42552</v>
      </c>
      <c r="JX12" s="30">
        <f ca="1">DATE(YEAR(JX$1),MONTH(JX$1)+InfoM!$H9,InfoM!$I9)</f>
        <v>42583</v>
      </c>
      <c r="JY12" s="30">
        <f ca="1">DATE(YEAR(JY$1),MONTH(JY$1)+InfoM!$H9,InfoM!$I9)</f>
        <v>42614</v>
      </c>
      <c r="JZ12" s="30">
        <f ca="1">DATE(YEAR(JZ$1),MONTH(JZ$1)+InfoM!$H9,InfoM!$I9)</f>
        <v>42644</v>
      </c>
      <c r="KA12" s="30">
        <f ca="1">DATE(YEAR(KA$1),MONTH(KA$1)+InfoM!$H9,InfoM!$I9)</f>
        <v>42675</v>
      </c>
      <c r="KB12" s="30">
        <f ca="1">DATE(YEAR(KB$1),MONTH(KB$1)+InfoM!$H9,InfoM!$I9)</f>
        <v>42705</v>
      </c>
      <c r="KC12" s="30">
        <f ca="1">DATE(YEAR(KC$1),MONTH(KC$1)+InfoM!$H9,InfoM!$I9)</f>
        <v>42736</v>
      </c>
      <c r="KD12" s="30">
        <f ca="1">DATE(YEAR(KD$1),MONTH(KD$1)+InfoM!$H9,InfoM!$I9)</f>
        <v>42767</v>
      </c>
      <c r="KE12" s="30">
        <f ca="1">DATE(YEAR(KE$1),MONTH(KE$1)+InfoM!$H9,InfoM!$I9)</f>
        <v>42795</v>
      </c>
      <c r="KF12" s="30">
        <f ca="1">DATE(YEAR(KF$1),MONTH(KF$1)+InfoM!$H9,InfoM!$I9)</f>
        <v>42826</v>
      </c>
      <c r="KG12" s="30">
        <f ca="1">DATE(YEAR(KG$1),MONTH(KG$1)+InfoM!$H9,InfoM!$I9)</f>
        <v>42856</v>
      </c>
      <c r="KH12" s="30">
        <f ca="1">DATE(YEAR(KH$1),MONTH(KH$1)+InfoM!$H9,InfoM!$I9)</f>
        <v>42887</v>
      </c>
      <c r="KI12" s="30">
        <f ca="1">DATE(YEAR(KI$1),MONTH(KI$1)+InfoM!$H9,InfoM!$I9)</f>
        <v>42917</v>
      </c>
      <c r="KJ12" s="30">
        <f ca="1">DATE(YEAR(KJ$1),MONTH(KJ$1)+InfoM!$H9,InfoM!$I9)</f>
        <v>42948</v>
      </c>
      <c r="KK12" s="30">
        <f ca="1">DATE(YEAR(KK$1),MONTH(KK$1)+InfoM!$H9,InfoM!$I9)</f>
        <v>42979</v>
      </c>
      <c r="KL12" s="30">
        <f ca="1">DATE(YEAR(KL$1),MONTH(KL$1)+InfoM!$H9,InfoM!$I9)</f>
        <v>43009</v>
      </c>
      <c r="KM12" s="30">
        <f ca="1">DATE(YEAR(KM$1),MONTH(KM$1)+InfoM!$H9,InfoM!$I9)</f>
        <v>43040</v>
      </c>
      <c r="KN12" s="30">
        <f ca="1">DATE(YEAR(KN$1),MONTH(KN$1)+InfoM!$H9,InfoM!$I9)</f>
        <v>43070</v>
      </c>
      <c r="KO12" s="30">
        <f ca="1">DATE(YEAR(KO$1),MONTH(KO$1)+InfoM!$H9,InfoM!$I9)</f>
        <v>43101</v>
      </c>
      <c r="KP12" s="30">
        <f ca="1">DATE(YEAR(KP$1),MONTH(KP$1)+InfoM!$H9,InfoM!$I9)</f>
        <v>43132</v>
      </c>
      <c r="KQ12" s="30">
        <f ca="1">DATE(YEAR(KQ$1),MONTH(KQ$1)+InfoM!$H9,InfoM!$I9)</f>
        <v>43160</v>
      </c>
      <c r="KR12" s="30">
        <f ca="1">DATE(YEAR(KR$1),MONTH(KR$1)+InfoM!$H9,InfoM!$I9)</f>
        <v>43191</v>
      </c>
      <c r="KS12" s="30">
        <f ca="1">DATE(YEAR(KS$1),MONTH(KS$1)+InfoM!$H9,InfoM!$I9)</f>
        <v>43221</v>
      </c>
      <c r="KT12" s="30">
        <f ca="1">DATE(YEAR(KT$1),MONTH(KT$1)+InfoM!$H9,InfoM!$I9)</f>
        <v>43252</v>
      </c>
      <c r="KU12" s="30">
        <f ca="1">DATE(YEAR(KU$1),MONTH(KU$1)+InfoM!$H9,InfoM!$I9)</f>
        <v>43282</v>
      </c>
      <c r="KV12" s="30">
        <f ca="1">DATE(YEAR(KV$1),MONTH(KV$1)+InfoM!$H9,InfoM!$I9)</f>
        <v>43313</v>
      </c>
      <c r="KW12" s="30">
        <f ca="1">DATE(YEAR(KW$1),MONTH(KW$1)+InfoM!$H9,InfoM!$I9)</f>
        <v>43344</v>
      </c>
      <c r="KX12" s="30">
        <f ca="1">DATE(YEAR(KX$1),MONTH(KX$1)+InfoM!$H9,InfoM!$I9)</f>
        <v>43374</v>
      </c>
      <c r="KY12" s="30">
        <f ca="1">DATE(YEAR(KY$1),MONTH(KY$1)+InfoM!$H9,InfoM!$I9)</f>
        <v>43405</v>
      </c>
      <c r="KZ12" s="30">
        <f ca="1">DATE(YEAR(KZ$1),MONTH(KZ$1)+InfoM!$H9,InfoM!$I9)</f>
        <v>43435</v>
      </c>
      <c r="LA12" s="30">
        <f ca="1">DATE(YEAR(LA$1),MONTH(LA$1)+InfoM!$H9,InfoM!$I9)</f>
        <v>43466</v>
      </c>
      <c r="LB12" s="30">
        <f ca="1">DATE(YEAR(LB$1),MONTH(LB$1)+InfoM!$H9,InfoM!$I9)</f>
        <v>43497</v>
      </c>
      <c r="LC12" s="30">
        <f ca="1">DATE(YEAR(LC$1),MONTH(LC$1)+InfoM!$H9,InfoM!$I9)</f>
        <v>43525</v>
      </c>
      <c r="LD12" s="30">
        <f ca="1">DATE(YEAR(LD$1),MONTH(LD$1)+InfoM!$H9,InfoM!$I9)</f>
        <v>43556</v>
      </c>
      <c r="LE12" s="30">
        <f ca="1">DATE(YEAR(LE$1),MONTH(LE$1)+InfoM!$H9,InfoM!$I9)</f>
        <v>43586</v>
      </c>
      <c r="LF12" s="30">
        <f ca="1">DATE(YEAR(LF$1),MONTH(LF$1)+InfoM!$H9,InfoM!$I9)</f>
        <v>43617</v>
      </c>
      <c r="LG12" s="30">
        <f ca="1">DATE(YEAR(LG$1),MONTH(LG$1)+InfoM!$H9,InfoM!$I9)</f>
        <v>43647</v>
      </c>
      <c r="LH12" s="30">
        <f ca="1">DATE(YEAR(LH$1),MONTH(LH$1)+InfoM!$H9,InfoM!$I9)</f>
        <v>43678</v>
      </c>
      <c r="LI12" s="30">
        <f ca="1">DATE(YEAR(LI$1),MONTH(LI$1)+InfoM!$H9,InfoM!$I9)</f>
        <v>43709</v>
      </c>
      <c r="LJ12" s="30">
        <f ca="1">DATE(YEAR(LJ$1),MONTH(LJ$1)+InfoM!$H9,InfoM!$I9)</f>
        <v>43739</v>
      </c>
      <c r="LK12" s="30">
        <f ca="1">DATE(YEAR(LK$1),MONTH(LK$1)+InfoM!$H9,InfoM!$I9)</f>
        <v>43770</v>
      </c>
      <c r="LL12" s="30">
        <f ca="1">DATE(YEAR(LL$1),MONTH(LL$1)+InfoM!$H9,InfoM!$I9)</f>
        <v>43800</v>
      </c>
      <c r="LM12" s="30">
        <f ca="1">DATE(YEAR(LM$1),MONTH(LM$1)+InfoM!$H9,InfoM!$I9)</f>
        <v>43831</v>
      </c>
      <c r="LN12" s="30">
        <f ca="1">DATE(YEAR(LN$1),MONTH(LN$1)+InfoM!$H9,InfoM!$I9)</f>
        <v>43862</v>
      </c>
      <c r="LO12" s="30">
        <f ca="1">DATE(YEAR(LO$1),MONTH(LO$1)+InfoM!$H9,InfoM!$I9)</f>
        <v>43891</v>
      </c>
      <c r="LP12" s="30">
        <f ca="1">DATE(YEAR(LP$1),MONTH(LP$1)+InfoM!$H9,InfoM!$I9)</f>
        <v>43922</v>
      </c>
      <c r="LQ12" s="30">
        <f ca="1">DATE(YEAR(LQ$1),MONTH(LQ$1)+InfoM!$H9,InfoM!$I9)</f>
        <v>43952</v>
      </c>
      <c r="LR12" s="30">
        <f ca="1">DATE(YEAR(LR$1),MONTH(LR$1)+InfoM!$H9,InfoM!$I9)</f>
        <v>43983</v>
      </c>
      <c r="LS12" s="30">
        <f ca="1">DATE(YEAR(LS$1),MONTH(LS$1)+InfoM!$H9,InfoM!$I9)</f>
        <v>44013</v>
      </c>
      <c r="LT12" s="30">
        <f ca="1">DATE(YEAR(LT$1),MONTH(LT$1)+InfoM!$H9,InfoM!$I9)</f>
        <v>44044</v>
      </c>
      <c r="LU12" s="30">
        <f ca="1">DATE(YEAR(LU$1),MONTH(LU$1)+InfoM!$H9,InfoM!$I9)</f>
        <v>44075</v>
      </c>
      <c r="LV12" s="30">
        <f ca="1">DATE(YEAR(LV$1),MONTH(LV$1)+InfoM!$H9,InfoM!$I9)</f>
        <v>44105</v>
      </c>
      <c r="LW12" s="30">
        <f ca="1">DATE(YEAR(LW$1),MONTH(LW$1)+InfoM!$H9,InfoM!$I9)</f>
        <v>44136</v>
      </c>
      <c r="LX12" s="30">
        <f ca="1">DATE(YEAR(LX$1),MONTH(LX$1)+InfoM!$H9,InfoM!$I9)</f>
        <v>44166</v>
      </c>
      <c r="LY12" s="30">
        <f ca="1">DATE(YEAR(LY$1),MONTH(LY$1)+InfoM!$H9,InfoM!$I9)</f>
        <v>44197</v>
      </c>
      <c r="LZ12" s="30">
        <f ca="1">DATE(YEAR(LZ$1),MONTH(LZ$1)+InfoM!$H9,InfoM!$I9)</f>
        <v>44228</v>
      </c>
      <c r="MA12" s="30">
        <f ca="1">DATE(YEAR(MA$1),MONTH(MA$1)+InfoM!$H9,InfoM!$I9)</f>
        <v>44256</v>
      </c>
      <c r="MB12" s="30">
        <f ca="1">DATE(YEAR(MB$1),MONTH(MB$1)+InfoM!$H9,InfoM!$I9)</f>
        <v>44287</v>
      </c>
      <c r="MC12" s="30">
        <f ca="1">DATE(YEAR(MC$1),MONTH(MC$1)+InfoM!$H9,InfoM!$I9)</f>
        <v>44317</v>
      </c>
      <c r="MD12" s="30">
        <f ca="1">DATE(YEAR(MD$1),MONTH(MD$1)+InfoM!$H9,InfoM!$I9)</f>
        <v>44348</v>
      </c>
      <c r="ME12" s="30">
        <f ca="1">DATE(YEAR(ME$1),MONTH(ME$1)+InfoM!$H9,InfoM!$I9)</f>
        <v>44378</v>
      </c>
      <c r="MF12" s="30">
        <f ca="1">DATE(YEAR(MF$1),MONTH(MF$1)+InfoM!$H9,InfoM!$I9)</f>
        <v>44409</v>
      </c>
      <c r="MG12" s="30">
        <f ca="1">DATE(YEAR(MG$1),MONTH(MG$1)+InfoM!$H9,InfoM!$I9)</f>
        <v>44440</v>
      </c>
      <c r="MH12" s="30">
        <f ca="1">DATE(YEAR(MH$1),MONTH(MH$1)+InfoM!$H9,InfoM!$I9)</f>
        <v>44470</v>
      </c>
      <c r="MI12" s="30">
        <f ca="1">DATE(YEAR(MI$1),MONTH(MI$1)+InfoM!$H9,InfoM!$I9)</f>
        <v>44501</v>
      </c>
      <c r="MJ12" s="30">
        <f ca="1">DATE(YEAR(MJ$1),MONTH(MJ$1)+InfoM!$H9,InfoM!$I9)</f>
        <v>44531</v>
      </c>
      <c r="MK12" s="30">
        <f ca="1">DATE(YEAR(MK$1),MONTH(MK$1)+InfoM!$H9,InfoM!$I9)</f>
        <v>44562</v>
      </c>
      <c r="ML12" s="30">
        <f ca="1">DATE(YEAR(ML$1),MONTH(ML$1)+InfoM!$H9,InfoM!$I9)</f>
        <v>44593</v>
      </c>
      <c r="MM12" s="30">
        <f ca="1">DATE(YEAR(MM$1),MONTH(MM$1)+InfoM!$H9,InfoM!$I9)</f>
        <v>44621</v>
      </c>
      <c r="MN12" s="30">
        <f ca="1">DATE(YEAR(MN$1),MONTH(MN$1)+InfoM!$H9,InfoM!$I9)</f>
        <v>44652</v>
      </c>
      <c r="MO12" s="30">
        <f ca="1">DATE(YEAR(MO$1),MONTH(MO$1)+InfoM!$H9,InfoM!$I9)</f>
        <v>44682</v>
      </c>
      <c r="MP12" s="30">
        <f ca="1">DATE(YEAR(MP$1),MONTH(MP$1)+InfoM!$H9,InfoM!$I9)</f>
        <v>44713</v>
      </c>
      <c r="MQ12" s="30">
        <f ca="1">DATE(YEAR(MQ$1),MONTH(MQ$1)+InfoM!$H9,InfoM!$I9)</f>
        <v>44743</v>
      </c>
      <c r="MR12" s="30">
        <f ca="1">DATE(YEAR(MR$1),MONTH(MR$1)+InfoM!$H9,InfoM!$I9)</f>
        <v>44774</v>
      </c>
      <c r="MS12" s="30">
        <f ca="1">DATE(YEAR(MS$1),MONTH(MS$1)+InfoM!$H9,InfoM!$I9)</f>
        <v>44805</v>
      </c>
      <c r="MT12" s="30">
        <f ca="1">DATE(YEAR(MT$1),MONTH(MT$1)+InfoM!$H9,InfoM!$I9)</f>
        <v>44835</v>
      </c>
      <c r="MU12" s="30">
        <f ca="1">DATE(YEAR(MU$1),MONTH(MU$1)+InfoM!$H9,InfoM!$I9)</f>
        <v>44866</v>
      </c>
      <c r="MV12" s="30">
        <f ca="1">DATE(YEAR(MV$1),MONTH(MV$1)+InfoM!$H9,InfoM!$I9)</f>
        <v>44896</v>
      </c>
      <c r="MW12" s="30">
        <f ca="1">DATE(YEAR(MW$1),MONTH(MW$1)+InfoM!$H9,InfoM!$I9)</f>
        <v>44927</v>
      </c>
      <c r="MX12" s="30">
        <f ca="1">DATE(YEAR(MX$1),MONTH(MX$1)+InfoM!$H9,InfoM!$I9)</f>
        <v>44958</v>
      </c>
      <c r="MY12" s="30">
        <f ca="1">DATE(YEAR(MY$1),MONTH(MY$1)+InfoM!$H9,InfoM!$I9)</f>
        <v>44986</v>
      </c>
      <c r="MZ12" s="30">
        <f ca="1">DATE(YEAR(MZ$1),MONTH(MZ$1)+InfoM!$H9,InfoM!$I9)</f>
        <v>45017</v>
      </c>
      <c r="NA12" s="30">
        <f ca="1">DATE(YEAR(NA$1),MONTH(NA$1)+InfoM!$H9,InfoM!$I9)</f>
        <v>45047</v>
      </c>
      <c r="NB12" s="30">
        <f ca="1">DATE(YEAR(NB$1),MONTH(NB$1)+InfoM!$H9,InfoM!$I9)</f>
        <v>45078</v>
      </c>
      <c r="NC12" s="30">
        <f ca="1">DATE(YEAR(NC$1),MONTH(NC$1)+InfoM!$H9,InfoM!$I9)</f>
        <v>45108</v>
      </c>
      <c r="ND12" s="30">
        <f ca="1">DATE(YEAR(ND$1),MONTH(ND$1)+InfoM!$H9,InfoM!$I9)</f>
        <v>45139</v>
      </c>
      <c r="NE12" s="30">
        <f ca="1">DATE(YEAR(NE$1),MONTH(NE$1)+InfoM!$H9,InfoM!$I9)</f>
        <v>45170</v>
      </c>
      <c r="NF12" s="30">
        <f ca="1">DATE(YEAR(NF$1),MONTH(NF$1)+InfoM!$H9,InfoM!$I9)</f>
        <v>45200</v>
      </c>
      <c r="NG12" s="30">
        <f ca="1">DATE(YEAR(NG$1),MONTH(NG$1)+InfoM!$H9,InfoM!$I9)</f>
        <v>45231</v>
      </c>
      <c r="NH12" s="30">
        <f ca="1">DATE(YEAR(NH$1),MONTH(NH$1)+InfoM!$H9,InfoM!$I9)</f>
        <v>45261</v>
      </c>
      <c r="NI12" s="30">
        <f ca="1">DATE(YEAR(NI$1),MONTH(NI$1)+InfoM!$H9,InfoM!$I9)</f>
        <v>45292</v>
      </c>
      <c r="NJ12" s="30">
        <f ca="1">DATE(YEAR(NJ$1),MONTH(NJ$1)+InfoM!$H9,InfoM!$I9)</f>
        <v>45323</v>
      </c>
      <c r="NK12" s="30">
        <f ca="1">DATE(YEAR(NK$1),MONTH(NK$1)+InfoM!$H9,InfoM!$I9)</f>
        <v>45352</v>
      </c>
      <c r="NL12" s="30">
        <f ca="1">DATE(YEAR(NL$1),MONTH(NL$1)+InfoM!$H9,InfoM!$I9)</f>
        <v>45383</v>
      </c>
      <c r="NM12" s="30">
        <f ca="1">DATE(YEAR(NM$1),MONTH(NM$1)+InfoM!$H9,InfoM!$I9)</f>
        <v>45413</v>
      </c>
      <c r="NN12" s="30">
        <f ca="1">DATE(YEAR(NN$1),MONTH(NN$1)+InfoM!$H9,InfoM!$I9)</f>
        <v>45444</v>
      </c>
      <c r="NO12" s="30">
        <f ca="1">DATE(YEAR(NO$1),MONTH(NO$1)+InfoM!$H9,InfoM!$I9)</f>
        <v>45474</v>
      </c>
      <c r="NP12" s="30">
        <f ca="1">DATE(YEAR(NP$1),MONTH(NP$1)+InfoM!$H9,InfoM!$I9)</f>
        <v>45505</v>
      </c>
      <c r="NQ12" s="30">
        <f ca="1">DATE(YEAR(NQ$1),MONTH(NQ$1)+InfoM!$H9,InfoM!$I9)</f>
        <v>45536</v>
      </c>
      <c r="NR12" s="30">
        <f ca="1">DATE(YEAR(NR$1),MONTH(NR$1)+InfoM!$H9,InfoM!$I9)</f>
        <v>45566</v>
      </c>
      <c r="NS12" s="30">
        <f ca="1">DATE(YEAR(NS$1),MONTH(NS$1)+InfoM!$H9,InfoM!$I9)</f>
        <v>45597</v>
      </c>
      <c r="NT12" s="30">
        <f ca="1">DATE(YEAR(NT$1),MONTH(NT$1)+InfoM!$H9,InfoM!$I9)</f>
        <v>45627</v>
      </c>
      <c r="NU12" s="30">
        <f ca="1">DATE(YEAR(NU$1),MONTH(NU$1)+InfoM!$H9,InfoM!$I9)</f>
        <v>45658</v>
      </c>
      <c r="NV12" s="30">
        <f ca="1">DATE(YEAR(NV$1),MONTH(NV$1)+InfoM!$H9,InfoM!$I9)</f>
        <v>45689</v>
      </c>
      <c r="NW12" s="30">
        <f ca="1">DATE(YEAR(NW$1),MONTH(NW$1)+InfoM!$H9,InfoM!$I9)</f>
        <v>45717</v>
      </c>
      <c r="NX12" s="30">
        <f ca="1">DATE(YEAR(NX$1),MONTH(NX$1)+InfoM!$H9,InfoM!$I9)</f>
        <v>45748</v>
      </c>
      <c r="NY12" s="30">
        <f ca="1">DATE(YEAR(NY$1),MONTH(NY$1)+InfoM!$H9,InfoM!$I9)</f>
        <v>45778</v>
      </c>
      <c r="NZ12" s="30">
        <f ca="1">DATE(YEAR(NZ$1),MONTH(NZ$1)+InfoM!$H9,InfoM!$I9)</f>
        <v>45809</v>
      </c>
      <c r="OA12" s="30">
        <f ca="1">DATE(YEAR(OA$1),MONTH(OA$1)+InfoM!$H9,InfoM!$I9)</f>
        <v>45839</v>
      </c>
      <c r="OB12" s="30">
        <f ca="1">DATE(YEAR(OB$1),MONTH(OB$1)+InfoM!$H9,InfoM!$I9)</f>
        <v>45870</v>
      </c>
      <c r="OC12" s="30">
        <f ca="1">DATE(YEAR(OC$1),MONTH(OC$1)+InfoM!$H9,InfoM!$I9)</f>
        <v>45901</v>
      </c>
      <c r="OD12" s="30">
        <f ca="1">DATE(YEAR(OD$1),MONTH(OD$1)+InfoM!$H9,InfoM!$I9)</f>
        <v>45931</v>
      </c>
      <c r="OE12" s="30">
        <f ca="1">DATE(YEAR(OE$1),MONTH(OE$1)+InfoM!$H9,InfoM!$I9)</f>
        <v>45962</v>
      </c>
      <c r="OF12" s="30">
        <f ca="1">DATE(YEAR(OF$1),MONTH(OF$1)+InfoM!$H9,InfoM!$I9)</f>
        <v>45992</v>
      </c>
      <c r="OG12" s="30">
        <f ca="1">DATE(YEAR(OG$1),MONTH(OG$1)+InfoM!$H9,InfoM!$I9)</f>
        <v>46023</v>
      </c>
      <c r="OH12" s="30">
        <f ca="1">DATE(YEAR(OH$1),MONTH(OH$1)+InfoM!$H9,InfoM!$I9)</f>
        <v>46054</v>
      </c>
      <c r="OI12" s="30">
        <f ca="1">DATE(YEAR(OI$1),MONTH(OI$1)+InfoM!$H9,InfoM!$I9)</f>
        <v>46082</v>
      </c>
      <c r="OJ12" s="30">
        <f ca="1">DATE(YEAR(OJ$1),MONTH(OJ$1)+InfoM!$H9,InfoM!$I9)</f>
        <v>46113</v>
      </c>
      <c r="OK12" s="30">
        <f ca="1">DATE(YEAR(OK$1),MONTH(OK$1)+InfoM!$H9,InfoM!$I9)</f>
        <v>46143</v>
      </c>
      <c r="OL12" s="30">
        <f ca="1">DATE(YEAR(OL$1),MONTH(OL$1)+InfoM!$H9,InfoM!$I9)</f>
        <v>46174</v>
      </c>
      <c r="OM12" s="30">
        <f ca="1">DATE(YEAR(OM$1),MONTH(OM$1)+InfoM!$H9,InfoM!$I9)</f>
        <v>46204</v>
      </c>
      <c r="ON12" s="30">
        <f ca="1">DATE(YEAR(ON$1),MONTH(ON$1)+InfoM!$H9,InfoM!$I9)</f>
        <v>46235</v>
      </c>
      <c r="OO12" s="30">
        <f ca="1">DATE(YEAR(OO$1),MONTH(OO$1)+InfoM!$H9,InfoM!$I9)</f>
        <v>46266</v>
      </c>
      <c r="OP12" s="30">
        <f ca="1">DATE(YEAR(OP$1),MONTH(OP$1)+InfoM!$H9,InfoM!$I9)</f>
        <v>46296</v>
      </c>
      <c r="OQ12" s="30">
        <f ca="1">DATE(YEAR(OQ$1),MONTH(OQ$1)+InfoM!$H9,InfoM!$I9)</f>
        <v>46327</v>
      </c>
      <c r="OR12" s="30">
        <f ca="1">DATE(YEAR(OR$1),MONTH(OR$1)+InfoM!$H9,InfoM!$I9)</f>
        <v>46357</v>
      </c>
      <c r="OS12" s="30">
        <f ca="1">DATE(YEAR(OS$1),MONTH(OS$1)+InfoM!$H9,InfoM!$I9)</f>
        <v>46388</v>
      </c>
      <c r="OT12" s="30">
        <f ca="1">DATE(YEAR(OT$1),MONTH(OT$1)+InfoM!$H9,InfoM!$I9)</f>
        <v>46419</v>
      </c>
    </row>
    <row r="13" spans="1:410" x14ac:dyDescent="0.35">
      <c r="A13" s="19" t="str">
        <f>InfoM!A10</f>
        <v>Inflation</v>
      </c>
      <c r="B13">
        <f>InfoM!G10</f>
        <v>1</v>
      </c>
      <c r="C13" s="30">
        <f>DATE(YEAR(C$1),MONTH(C$1)+InfoM!$H10,InfoM!$I10)</f>
        <v>34001</v>
      </c>
      <c r="D13" s="30">
        <f ca="1">DATE(YEAR(D$1),MONTH(D$1)+InfoM!$H10,InfoM!$I10)</f>
        <v>34029</v>
      </c>
      <c r="E13" s="30">
        <f ca="1">DATE(YEAR(E$1),MONTH(E$1)+InfoM!$H10,InfoM!$I10)</f>
        <v>34060</v>
      </c>
      <c r="F13" s="30">
        <f ca="1">DATE(YEAR(F$1),MONTH(F$1)+InfoM!$H10,InfoM!$I10)</f>
        <v>34090</v>
      </c>
      <c r="G13" s="30">
        <f ca="1">DATE(YEAR(G$1),MONTH(G$1)+InfoM!$H10,InfoM!$I10)</f>
        <v>34121</v>
      </c>
      <c r="H13" s="30">
        <f ca="1">DATE(YEAR(H$1),MONTH(H$1)+InfoM!$H10,InfoM!$I10)</f>
        <v>34151</v>
      </c>
      <c r="I13" s="30">
        <f ca="1">DATE(YEAR(I$1),MONTH(I$1)+InfoM!$H10,InfoM!$I10)</f>
        <v>34182</v>
      </c>
      <c r="J13" s="30">
        <f ca="1">DATE(YEAR(J$1),MONTH(J$1)+InfoM!$H10,InfoM!$I10)</f>
        <v>34213</v>
      </c>
      <c r="K13" s="30">
        <f ca="1">DATE(YEAR(K$1),MONTH(K$1)+InfoM!$H10,InfoM!$I10)</f>
        <v>34243</v>
      </c>
      <c r="L13" s="30">
        <f ca="1">DATE(YEAR(L$1),MONTH(L$1)+InfoM!$H10,InfoM!$I10)</f>
        <v>34274</v>
      </c>
      <c r="M13" s="30">
        <f ca="1">DATE(YEAR(M$1),MONTH(M$1)+InfoM!$H10,InfoM!$I10)</f>
        <v>34304</v>
      </c>
      <c r="N13" s="30">
        <f ca="1">DATE(YEAR(N$1),MONTH(N$1)+InfoM!$H10,InfoM!$I10)</f>
        <v>34335</v>
      </c>
      <c r="O13" s="30">
        <f ca="1">DATE(YEAR(O$1),MONTH(O$1)+InfoM!$H10,InfoM!$I10)</f>
        <v>34366</v>
      </c>
      <c r="P13" s="30">
        <f ca="1">DATE(YEAR(P$1),MONTH(P$1)+InfoM!$H10,InfoM!$I10)</f>
        <v>34394</v>
      </c>
      <c r="Q13" s="30">
        <f ca="1">DATE(YEAR(Q$1),MONTH(Q$1)+InfoM!$H10,InfoM!$I10)</f>
        <v>34425</v>
      </c>
      <c r="R13" s="30">
        <f ca="1">DATE(YEAR(R$1),MONTH(R$1)+InfoM!$H10,InfoM!$I10)</f>
        <v>34455</v>
      </c>
      <c r="S13" s="30">
        <f ca="1">DATE(YEAR(S$1),MONTH(S$1)+InfoM!$H10,InfoM!$I10)</f>
        <v>34486</v>
      </c>
      <c r="T13" s="30">
        <f ca="1">DATE(YEAR(T$1),MONTH(T$1)+InfoM!$H10,InfoM!$I10)</f>
        <v>34516</v>
      </c>
      <c r="U13" s="30">
        <f ca="1">DATE(YEAR(U$1),MONTH(U$1)+InfoM!$H10,InfoM!$I10)</f>
        <v>34547</v>
      </c>
      <c r="V13" s="30">
        <f ca="1">DATE(YEAR(V$1),MONTH(V$1)+InfoM!$H10,InfoM!$I10)</f>
        <v>34578</v>
      </c>
      <c r="W13" s="30">
        <f ca="1">DATE(YEAR(W$1),MONTH(W$1)+InfoM!$H10,InfoM!$I10)</f>
        <v>34608</v>
      </c>
      <c r="X13" s="30">
        <f ca="1">DATE(YEAR(X$1),MONTH(X$1)+InfoM!$H10,InfoM!$I10)</f>
        <v>34639</v>
      </c>
      <c r="Y13" s="30">
        <f ca="1">DATE(YEAR(Y$1),MONTH(Y$1)+InfoM!$H10,InfoM!$I10)</f>
        <v>34669</v>
      </c>
      <c r="Z13" s="30">
        <f ca="1">DATE(YEAR(Z$1),MONTH(Z$1)+InfoM!$H10,InfoM!$I10)</f>
        <v>34700</v>
      </c>
      <c r="AA13" s="30">
        <f ca="1">DATE(YEAR(AA$1),MONTH(AA$1)+InfoM!$H10,InfoM!$I10)</f>
        <v>34731</v>
      </c>
      <c r="AB13" s="30">
        <f ca="1">DATE(YEAR(AB$1),MONTH(AB$1)+InfoM!$H10,InfoM!$I10)</f>
        <v>34759</v>
      </c>
      <c r="AC13" s="30">
        <f ca="1">DATE(YEAR(AC$1),MONTH(AC$1)+InfoM!$H10,InfoM!$I10)</f>
        <v>34790</v>
      </c>
      <c r="AD13" s="30">
        <f ca="1">DATE(YEAR(AD$1),MONTH(AD$1)+InfoM!$H10,InfoM!$I10)</f>
        <v>34820</v>
      </c>
      <c r="AE13" s="30">
        <f ca="1">DATE(YEAR(AE$1),MONTH(AE$1)+InfoM!$H10,InfoM!$I10)</f>
        <v>34851</v>
      </c>
      <c r="AF13" s="30">
        <f ca="1">DATE(YEAR(AF$1),MONTH(AF$1)+InfoM!$H10,InfoM!$I10)</f>
        <v>34881</v>
      </c>
      <c r="AG13" s="30">
        <f ca="1">DATE(YEAR(AG$1),MONTH(AG$1)+InfoM!$H10,InfoM!$I10)</f>
        <v>34912</v>
      </c>
      <c r="AH13" s="30">
        <f ca="1">DATE(YEAR(AH$1),MONTH(AH$1)+InfoM!$H10,InfoM!$I10)</f>
        <v>34943</v>
      </c>
      <c r="AI13" s="30">
        <f ca="1">DATE(YEAR(AI$1),MONTH(AI$1)+InfoM!$H10,InfoM!$I10)</f>
        <v>34973</v>
      </c>
      <c r="AJ13" s="30">
        <f ca="1">DATE(YEAR(AJ$1),MONTH(AJ$1)+InfoM!$H10,InfoM!$I10)</f>
        <v>35004</v>
      </c>
      <c r="AK13" s="30">
        <f ca="1">DATE(YEAR(AK$1),MONTH(AK$1)+InfoM!$H10,InfoM!$I10)</f>
        <v>35034</v>
      </c>
      <c r="AL13" s="30">
        <f ca="1">DATE(YEAR(AL$1),MONTH(AL$1)+InfoM!$H10,InfoM!$I10)</f>
        <v>35065</v>
      </c>
      <c r="AM13" s="30">
        <f ca="1">DATE(YEAR(AM$1),MONTH(AM$1)+InfoM!$H10,InfoM!$I10)</f>
        <v>35096</v>
      </c>
      <c r="AN13" s="30">
        <f ca="1">DATE(YEAR(AN$1),MONTH(AN$1)+InfoM!$H10,InfoM!$I10)</f>
        <v>35125</v>
      </c>
      <c r="AO13" s="30">
        <f ca="1">DATE(YEAR(AO$1),MONTH(AO$1)+InfoM!$H10,InfoM!$I10)</f>
        <v>35156</v>
      </c>
      <c r="AP13" s="30">
        <f ca="1">DATE(YEAR(AP$1),MONTH(AP$1)+InfoM!$H10,InfoM!$I10)</f>
        <v>35186</v>
      </c>
      <c r="AQ13" s="30">
        <f ca="1">DATE(YEAR(AQ$1),MONTH(AQ$1)+InfoM!$H10,InfoM!$I10)</f>
        <v>35217</v>
      </c>
      <c r="AR13" s="30">
        <f ca="1">DATE(YEAR(AR$1),MONTH(AR$1)+InfoM!$H10,InfoM!$I10)</f>
        <v>35247</v>
      </c>
      <c r="AS13" s="30">
        <f ca="1">DATE(YEAR(AS$1),MONTH(AS$1)+InfoM!$H10,InfoM!$I10)</f>
        <v>35278</v>
      </c>
      <c r="AT13" s="30">
        <f ca="1">DATE(YEAR(AT$1),MONTH(AT$1)+InfoM!$H10,InfoM!$I10)</f>
        <v>35309</v>
      </c>
      <c r="AU13" s="30">
        <f ca="1">DATE(YEAR(AU$1),MONTH(AU$1)+InfoM!$H10,InfoM!$I10)</f>
        <v>35339</v>
      </c>
      <c r="AV13" s="30">
        <f ca="1">DATE(YEAR(AV$1),MONTH(AV$1)+InfoM!$H10,InfoM!$I10)</f>
        <v>35370</v>
      </c>
      <c r="AW13" s="30">
        <f ca="1">DATE(YEAR(AW$1),MONTH(AW$1)+InfoM!$H10,InfoM!$I10)</f>
        <v>35400</v>
      </c>
      <c r="AX13" s="30">
        <f ca="1">DATE(YEAR(AX$1),MONTH(AX$1)+InfoM!$H10,InfoM!$I10)</f>
        <v>35431</v>
      </c>
      <c r="AY13" s="30">
        <f ca="1">DATE(YEAR(AY$1),MONTH(AY$1)+InfoM!$H10,InfoM!$I10)</f>
        <v>35462</v>
      </c>
      <c r="AZ13" s="30">
        <f ca="1">DATE(YEAR(AZ$1),MONTH(AZ$1)+InfoM!$H10,InfoM!$I10)</f>
        <v>35490</v>
      </c>
      <c r="BA13" s="30">
        <f ca="1">DATE(YEAR(BA$1),MONTH(BA$1)+InfoM!$H10,InfoM!$I10)</f>
        <v>35521</v>
      </c>
      <c r="BB13" s="30">
        <f ca="1">DATE(YEAR(BB$1),MONTH(BB$1)+InfoM!$H10,InfoM!$I10)</f>
        <v>35551</v>
      </c>
      <c r="BC13" s="30">
        <f ca="1">DATE(YEAR(BC$1),MONTH(BC$1)+InfoM!$H10,InfoM!$I10)</f>
        <v>35582</v>
      </c>
      <c r="BD13" s="30">
        <f ca="1">DATE(YEAR(BD$1),MONTH(BD$1)+InfoM!$H10,InfoM!$I10)</f>
        <v>35612</v>
      </c>
      <c r="BE13" s="30">
        <f ca="1">DATE(YEAR(BE$1),MONTH(BE$1)+InfoM!$H10,InfoM!$I10)</f>
        <v>35643</v>
      </c>
      <c r="BF13" s="30">
        <f ca="1">DATE(YEAR(BF$1),MONTH(BF$1)+InfoM!$H10,InfoM!$I10)</f>
        <v>35674</v>
      </c>
      <c r="BG13" s="30">
        <f ca="1">DATE(YEAR(BG$1),MONTH(BG$1)+InfoM!$H10,InfoM!$I10)</f>
        <v>35704</v>
      </c>
      <c r="BH13" s="30">
        <f ca="1">DATE(YEAR(BH$1),MONTH(BH$1)+InfoM!$H10,InfoM!$I10)</f>
        <v>35735</v>
      </c>
      <c r="BI13" s="30">
        <f ca="1">DATE(YEAR(BI$1),MONTH(BI$1)+InfoM!$H10,InfoM!$I10)</f>
        <v>35765</v>
      </c>
      <c r="BJ13" s="30">
        <f ca="1">DATE(YEAR(BJ$1),MONTH(BJ$1)+InfoM!$H10,InfoM!$I10)</f>
        <v>35796</v>
      </c>
      <c r="BK13" s="30">
        <f ca="1">DATE(YEAR(BK$1),MONTH(BK$1)+InfoM!$H10,InfoM!$I10)</f>
        <v>35827</v>
      </c>
      <c r="BL13" s="30">
        <f ca="1">DATE(YEAR(BL$1),MONTH(BL$1)+InfoM!$H10,InfoM!$I10)</f>
        <v>35855</v>
      </c>
      <c r="BM13" s="30">
        <f ca="1">DATE(YEAR(BM$1),MONTH(BM$1)+InfoM!$H10,InfoM!$I10)</f>
        <v>35886</v>
      </c>
      <c r="BN13" s="30">
        <f ca="1">DATE(YEAR(BN$1),MONTH(BN$1)+InfoM!$H10,InfoM!$I10)</f>
        <v>35916</v>
      </c>
      <c r="BO13" s="30">
        <f ca="1">DATE(YEAR(BO$1),MONTH(BO$1)+InfoM!$H10,InfoM!$I10)</f>
        <v>35947</v>
      </c>
      <c r="BP13" s="30">
        <f ca="1">DATE(YEAR(BP$1),MONTH(BP$1)+InfoM!$H10,InfoM!$I10)</f>
        <v>35977</v>
      </c>
      <c r="BQ13" s="30">
        <f ca="1">DATE(YEAR(BQ$1),MONTH(BQ$1)+InfoM!$H10,InfoM!$I10)</f>
        <v>36008</v>
      </c>
      <c r="BR13" s="30">
        <f ca="1">DATE(YEAR(BR$1),MONTH(BR$1)+InfoM!$H10,InfoM!$I10)</f>
        <v>36039</v>
      </c>
      <c r="BS13" s="30">
        <f ca="1">DATE(YEAR(BS$1),MONTH(BS$1)+InfoM!$H10,InfoM!$I10)</f>
        <v>36069</v>
      </c>
      <c r="BT13" s="30">
        <f ca="1">DATE(YEAR(BT$1),MONTH(BT$1)+InfoM!$H10,InfoM!$I10)</f>
        <v>36100</v>
      </c>
      <c r="BU13" s="30">
        <f ca="1">DATE(YEAR(BU$1),MONTH(BU$1)+InfoM!$H10,InfoM!$I10)</f>
        <v>36130</v>
      </c>
      <c r="BV13" s="30">
        <f ca="1">DATE(YEAR(BV$1),MONTH(BV$1)+InfoM!$H10,InfoM!$I10)</f>
        <v>36161</v>
      </c>
      <c r="BW13" s="30">
        <f ca="1">DATE(YEAR(BW$1),MONTH(BW$1)+InfoM!$H10,InfoM!$I10)</f>
        <v>36192</v>
      </c>
      <c r="BX13" s="30">
        <f ca="1">DATE(YEAR(BX$1),MONTH(BX$1)+InfoM!$H10,InfoM!$I10)</f>
        <v>36220</v>
      </c>
      <c r="BY13" s="30">
        <f ca="1">DATE(YEAR(BY$1),MONTH(BY$1)+InfoM!$H10,InfoM!$I10)</f>
        <v>36251</v>
      </c>
      <c r="BZ13" s="30">
        <f ca="1">DATE(YEAR(BZ$1),MONTH(BZ$1)+InfoM!$H10,InfoM!$I10)</f>
        <v>36281</v>
      </c>
      <c r="CA13" s="30">
        <f ca="1">DATE(YEAR(CA$1),MONTH(CA$1)+InfoM!$H10,InfoM!$I10)</f>
        <v>36312</v>
      </c>
      <c r="CB13" s="30">
        <f ca="1">DATE(YEAR(CB$1),MONTH(CB$1)+InfoM!$H10,InfoM!$I10)</f>
        <v>36342</v>
      </c>
      <c r="CC13" s="30">
        <f ca="1">DATE(YEAR(CC$1),MONTH(CC$1)+InfoM!$H10,InfoM!$I10)</f>
        <v>36373</v>
      </c>
      <c r="CD13" s="30">
        <f ca="1">DATE(YEAR(CD$1),MONTH(CD$1)+InfoM!$H10,InfoM!$I10)</f>
        <v>36404</v>
      </c>
      <c r="CE13" s="30">
        <f ca="1">DATE(YEAR(CE$1),MONTH(CE$1)+InfoM!$H10,InfoM!$I10)</f>
        <v>36434</v>
      </c>
      <c r="CF13" s="30">
        <f ca="1">DATE(YEAR(CF$1),MONTH(CF$1)+InfoM!$H10,InfoM!$I10)</f>
        <v>36465</v>
      </c>
      <c r="CG13" s="30">
        <f ca="1">DATE(YEAR(CG$1),MONTH(CG$1)+InfoM!$H10,InfoM!$I10)</f>
        <v>36495</v>
      </c>
      <c r="CH13" s="30">
        <f ca="1">DATE(YEAR(CH$1),MONTH(CH$1)+InfoM!$H10,InfoM!$I10)</f>
        <v>36526</v>
      </c>
      <c r="CI13" s="30">
        <f ca="1">DATE(YEAR(CI$1),MONTH(CI$1)+InfoM!$H10,InfoM!$I10)</f>
        <v>36557</v>
      </c>
      <c r="CJ13" s="30">
        <f ca="1">DATE(YEAR(CJ$1),MONTH(CJ$1)+InfoM!$H10,InfoM!$I10)</f>
        <v>36586</v>
      </c>
      <c r="CK13" s="30">
        <f ca="1">DATE(YEAR(CK$1),MONTH(CK$1)+InfoM!$H10,InfoM!$I10)</f>
        <v>36617</v>
      </c>
      <c r="CL13" s="30">
        <f ca="1">DATE(YEAR(CL$1),MONTH(CL$1)+InfoM!$H10,InfoM!$I10)</f>
        <v>36647</v>
      </c>
      <c r="CM13" s="30">
        <f ca="1">DATE(YEAR(CM$1),MONTH(CM$1)+InfoM!$H10,InfoM!$I10)</f>
        <v>36678</v>
      </c>
      <c r="CN13" s="30">
        <f ca="1">DATE(YEAR(CN$1),MONTH(CN$1)+InfoM!$H10,InfoM!$I10)</f>
        <v>36708</v>
      </c>
      <c r="CO13" s="30">
        <f ca="1">DATE(YEAR(CO$1),MONTH(CO$1)+InfoM!$H10,InfoM!$I10)</f>
        <v>36739</v>
      </c>
      <c r="CP13" s="30">
        <f ca="1">DATE(YEAR(CP$1),MONTH(CP$1)+InfoM!$H10,InfoM!$I10)</f>
        <v>36770</v>
      </c>
      <c r="CQ13" s="30">
        <f ca="1">DATE(YEAR(CQ$1),MONTH(CQ$1)+InfoM!$H10,InfoM!$I10)</f>
        <v>36800</v>
      </c>
      <c r="CR13" s="30">
        <f ca="1">DATE(YEAR(CR$1),MONTH(CR$1)+InfoM!$H10,InfoM!$I10)</f>
        <v>36831</v>
      </c>
      <c r="CS13" s="30">
        <f ca="1">DATE(YEAR(CS$1),MONTH(CS$1)+InfoM!$H10,InfoM!$I10)</f>
        <v>36861</v>
      </c>
      <c r="CT13" s="30">
        <f ca="1">DATE(YEAR(CT$1),MONTH(CT$1)+InfoM!$H10,InfoM!$I10)</f>
        <v>36892</v>
      </c>
      <c r="CU13" s="30">
        <f ca="1">DATE(YEAR(CU$1),MONTH(CU$1)+InfoM!$H10,InfoM!$I10)</f>
        <v>36923</v>
      </c>
      <c r="CV13" s="30">
        <f ca="1">DATE(YEAR(CV$1),MONTH(CV$1)+InfoM!$H10,InfoM!$I10)</f>
        <v>36951</v>
      </c>
      <c r="CW13" s="30">
        <f ca="1">DATE(YEAR(CW$1),MONTH(CW$1)+InfoM!$H10,InfoM!$I10)</f>
        <v>36982</v>
      </c>
      <c r="CX13" s="30">
        <f ca="1">DATE(YEAR(CX$1),MONTH(CX$1)+InfoM!$H10,InfoM!$I10)</f>
        <v>37012</v>
      </c>
      <c r="CY13" s="30">
        <f ca="1">DATE(YEAR(CY$1),MONTH(CY$1)+InfoM!$H10,InfoM!$I10)</f>
        <v>37043</v>
      </c>
      <c r="CZ13" s="30">
        <f ca="1">DATE(YEAR(CZ$1),MONTH(CZ$1)+InfoM!$H10,InfoM!$I10)</f>
        <v>37073</v>
      </c>
      <c r="DA13" s="30">
        <f ca="1">DATE(YEAR(DA$1),MONTH(DA$1)+InfoM!$H10,InfoM!$I10)</f>
        <v>37104</v>
      </c>
      <c r="DB13" s="30">
        <f ca="1">DATE(YEAR(DB$1),MONTH(DB$1)+InfoM!$H10,InfoM!$I10)</f>
        <v>37135</v>
      </c>
      <c r="DC13" s="30">
        <f ca="1">DATE(YEAR(DC$1),MONTH(DC$1)+InfoM!$H10,InfoM!$I10)</f>
        <v>37165</v>
      </c>
      <c r="DD13" s="30">
        <f ca="1">DATE(YEAR(DD$1),MONTH(DD$1)+InfoM!$H10,InfoM!$I10)</f>
        <v>37196</v>
      </c>
      <c r="DE13" s="30">
        <f ca="1">DATE(YEAR(DE$1),MONTH(DE$1)+InfoM!$H10,InfoM!$I10)</f>
        <v>37226</v>
      </c>
      <c r="DF13" s="30">
        <f ca="1">DATE(YEAR(DF$1),MONTH(DF$1)+InfoM!$H10,InfoM!$I10)</f>
        <v>37257</v>
      </c>
      <c r="DG13" s="30">
        <f ca="1">DATE(YEAR(DG$1),MONTH(DG$1)+InfoM!$H10,InfoM!$I10)</f>
        <v>37288</v>
      </c>
      <c r="DH13" s="30">
        <f ca="1">DATE(YEAR(DH$1),MONTH(DH$1)+InfoM!$H10,InfoM!$I10)</f>
        <v>37316</v>
      </c>
      <c r="DI13" s="30">
        <f ca="1">DATE(YEAR(DI$1),MONTH(DI$1)+InfoM!$H10,InfoM!$I10)</f>
        <v>37347</v>
      </c>
      <c r="DJ13" s="30">
        <f ca="1">DATE(YEAR(DJ$1),MONTH(DJ$1)+InfoM!$H10,InfoM!$I10)</f>
        <v>37377</v>
      </c>
      <c r="DK13" s="30">
        <f ca="1">DATE(YEAR(DK$1),MONTH(DK$1)+InfoM!$H10,InfoM!$I10)</f>
        <v>37408</v>
      </c>
      <c r="DL13" s="30">
        <f ca="1">DATE(YEAR(DL$1),MONTH(DL$1)+InfoM!$H10,InfoM!$I10)</f>
        <v>37438</v>
      </c>
      <c r="DM13" s="30">
        <f ca="1">DATE(YEAR(DM$1),MONTH(DM$1)+InfoM!$H10,InfoM!$I10)</f>
        <v>37469</v>
      </c>
      <c r="DN13" s="30">
        <f ca="1">DATE(YEAR(DN$1),MONTH(DN$1)+InfoM!$H10,InfoM!$I10)</f>
        <v>37500</v>
      </c>
      <c r="DO13" s="30">
        <f ca="1">DATE(YEAR(DO$1),MONTH(DO$1)+InfoM!$H10,InfoM!$I10)</f>
        <v>37530</v>
      </c>
      <c r="DP13" s="30">
        <f ca="1">DATE(YEAR(DP$1),MONTH(DP$1)+InfoM!$H10,InfoM!$I10)</f>
        <v>37561</v>
      </c>
      <c r="DQ13" s="30">
        <f ca="1">DATE(YEAR(DQ$1),MONTH(DQ$1)+InfoM!$H10,InfoM!$I10)</f>
        <v>37591</v>
      </c>
      <c r="DR13" s="30">
        <f ca="1">DATE(YEAR(DR$1),MONTH(DR$1)+InfoM!$H10,InfoM!$I10)</f>
        <v>37622</v>
      </c>
      <c r="DS13" s="30">
        <f ca="1">DATE(YEAR(DS$1),MONTH(DS$1)+InfoM!$H10,InfoM!$I10)</f>
        <v>37653</v>
      </c>
      <c r="DT13" s="30">
        <f ca="1">DATE(YEAR(DT$1),MONTH(DT$1)+InfoM!$H10,InfoM!$I10)</f>
        <v>37681</v>
      </c>
      <c r="DU13" s="30">
        <f ca="1">DATE(YEAR(DU$1),MONTH(DU$1)+InfoM!$H10,InfoM!$I10)</f>
        <v>37712</v>
      </c>
      <c r="DV13" s="30">
        <f ca="1">DATE(YEAR(DV$1),MONTH(DV$1)+InfoM!$H10,InfoM!$I10)</f>
        <v>37742</v>
      </c>
      <c r="DW13" s="30">
        <f ca="1">DATE(YEAR(DW$1),MONTH(DW$1)+InfoM!$H10,InfoM!$I10)</f>
        <v>37773</v>
      </c>
      <c r="DX13" s="30">
        <f ca="1">DATE(YEAR(DX$1),MONTH(DX$1)+InfoM!$H10,InfoM!$I10)</f>
        <v>37803</v>
      </c>
      <c r="DY13" s="30">
        <f ca="1">DATE(YEAR(DY$1),MONTH(DY$1)+InfoM!$H10,InfoM!$I10)</f>
        <v>37834</v>
      </c>
      <c r="DZ13" s="30">
        <f ca="1">DATE(YEAR(DZ$1),MONTH(DZ$1)+InfoM!$H10,InfoM!$I10)</f>
        <v>37865</v>
      </c>
      <c r="EA13" s="30">
        <f ca="1">DATE(YEAR(EA$1),MONTH(EA$1)+InfoM!$H10,InfoM!$I10)</f>
        <v>37895</v>
      </c>
      <c r="EB13" s="30">
        <f ca="1">DATE(YEAR(EB$1),MONTH(EB$1)+InfoM!$H10,InfoM!$I10)</f>
        <v>37926</v>
      </c>
      <c r="EC13" s="30">
        <f ca="1">DATE(YEAR(EC$1),MONTH(EC$1)+InfoM!$H10,InfoM!$I10)</f>
        <v>37956</v>
      </c>
      <c r="ED13" s="30">
        <f ca="1">DATE(YEAR(ED$1),MONTH(ED$1)+InfoM!$H10,InfoM!$I10)</f>
        <v>37987</v>
      </c>
      <c r="EE13" s="30">
        <f ca="1">DATE(YEAR(EE$1),MONTH(EE$1)+InfoM!$H10,InfoM!$I10)</f>
        <v>38018</v>
      </c>
      <c r="EF13" s="30">
        <f ca="1">DATE(YEAR(EF$1),MONTH(EF$1)+InfoM!$H10,InfoM!$I10)</f>
        <v>38047</v>
      </c>
      <c r="EG13" s="30">
        <f ca="1">DATE(YEAR(EG$1),MONTH(EG$1)+InfoM!$H10,InfoM!$I10)</f>
        <v>38078</v>
      </c>
      <c r="EH13" s="30">
        <f ca="1">DATE(YEAR(EH$1),MONTH(EH$1)+InfoM!$H10,InfoM!$I10)</f>
        <v>38108</v>
      </c>
      <c r="EI13" s="30">
        <f ca="1">DATE(YEAR(EI$1),MONTH(EI$1)+InfoM!$H10,InfoM!$I10)</f>
        <v>38139</v>
      </c>
      <c r="EJ13" s="30">
        <f ca="1">DATE(YEAR(EJ$1),MONTH(EJ$1)+InfoM!$H10,InfoM!$I10)</f>
        <v>38169</v>
      </c>
      <c r="EK13" s="30">
        <f ca="1">DATE(YEAR(EK$1),MONTH(EK$1)+InfoM!$H10,InfoM!$I10)</f>
        <v>38200</v>
      </c>
      <c r="EL13" s="30">
        <f ca="1">DATE(YEAR(EL$1),MONTH(EL$1)+InfoM!$H10,InfoM!$I10)</f>
        <v>38231</v>
      </c>
      <c r="EM13" s="30">
        <f ca="1">DATE(YEAR(EM$1),MONTH(EM$1)+InfoM!$H10,InfoM!$I10)</f>
        <v>38261</v>
      </c>
      <c r="EN13" s="30">
        <f ca="1">DATE(YEAR(EN$1),MONTH(EN$1)+InfoM!$H10,InfoM!$I10)</f>
        <v>38292</v>
      </c>
      <c r="EO13" s="30">
        <f ca="1">DATE(YEAR(EO$1),MONTH(EO$1)+InfoM!$H10,InfoM!$I10)</f>
        <v>38322</v>
      </c>
      <c r="EP13" s="30">
        <f ca="1">DATE(YEAR(EP$1),MONTH(EP$1)+InfoM!$H10,InfoM!$I10)</f>
        <v>38353</v>
      </c>
      <c r="EQ13" s="30">
        <f ca="1">DATE(YEAR(EQ$1),MONTH(EQ$1)+InfoM!$H10,InfoM!$I10)</f>
        <v>38384</v>
      </c>
      <c r="ER13" s="30">
        <f ca="1">DATE(YEAR(ER$1),MONTH(ER$1)+InfoM!$H10,InfoM!$I10)</f>
        <v>38412</v>
      </c>
      <c r="ES13" s="30">
        <f ca="1">DATE(YEAR(ES$1),MONTH(ES$1)+InfoM!$H10,InfoM!$I10)</f>
        <v>38443</v>
      </c>
      <c r="ET13" s="30">
        <f ca="1">DATE(YEAR(ET$1),MONTH(ET$1)+InfoM!$H10,InfoM!$I10)</f>
        <v>38473</v>
      </c>
      <c r="EU13" s="30">
        <f ca="1">DATE(YEAR(EU$1),MONTH(EU$1)+InfoM!$H10,InfoM!$I10)</f>
        <v>38504</v>
      </c>
      <c r="EV13" s="30">
        <f ca="1">DATE(YEAR(EV$1),MONTH(EV$1)+InfoM!$H10,InfoM!$I10)</f>
        <v>38534</v>
      </c>
      <c r="EW13" s="30">
        <f ca="1">DATE(YEAR(EW$1),MONTH(EW$1)+InfoM!$H10,InfoM!$I10)</f>
        <v>38565</v>
      </c>
      <c r="EX13" s="30">
        <f ca="1">DATE(YEAR(EX$1),MONTH(EX$1)+InfoM!$H10,InfoM!$I10)</f>
        <v>38596</v>
      </c>
      <c r="EY13" s="30">
        <f ca="1">DATE(YEAR(EY$1),MONTH(EY$1)+InfoM!$H10,InfoM!$I10)</f>
        <v>38626</v>
      </c>
      <c r="EZ13" s="30">
        <f ca="1">DATE(YEAR(EZ$1),MONTH(EZ$1)+InfoM!$H10,InfoM!$I10)</f>
        <v>38657</v>
      </c>
      <c r="FA13" s="30">
        <f ca="1">DATE(YEAR(FA$1),MONTH(FA$1)+InfoM!$H10,InfoM!$I10)</f>
        <v>38687</v>
      </c>
      <c r="FB13" s="30">
        <f ca="1">DATE(YEAR(FB$1),MONTH(FB$1)+InfoM!$H10,InfoM!$I10)</f>
        <v>38718</v>
      </c>
      <c r="FC13" s="30">
        <f ca="1">DATE(YEAR(FC$1),MONTH(FC$1)+InfoM!$H10,InfoM!$I10)</f>
        <v>38749</v>
      </c>
      <c r="FD13" s="30">
        <f ca="1">DATE(YEAR(FD$1),MONTH(FD$1)+InfoM!$H10,InfoM!$I10)</f>
        <v>38777</v>
      </c>
      <c r="FE13" s="30">
        <f ca="1">DATE(YEAR(FE$1),MONTH(FE$1)+InfoM!$H10,InfoM!$I10)</f>
        <v>38808</v>
      </c>
      <c r="FF13" s="30">
        <f ca="1">DATE(YEAR(FF$1),MONTH(FF$1)+InfoM!$H10,InfoM!$I10)</f>
        <v>38838</v>
      </c>
      <c r="FG13" s="30">
        <f ca="1">DATE(YEAR(FG$1),MONTH(FG$1)+InfoM!$H10,InfoM!$I10)</f>
        <v>38869</v>
      </c>
      <c r="FH13" s="30">
        <f ca="1">DATE(YEAR(FH$1),MONTH(FH$1)+InfoM!$H10,InfoM!$I10)</f>
        <v>38899</v>
      </c>
      <c r="FI13" s="30">
        <f ca="1">DATE(YEAR(FI$1),MONTH(FI$1)+InfoM!$H10,InfoM!$I10)</f>
        <v>38930</v>
      </c>
      <c r="FJ13" s="30">
        <f ca="1">DATE(YEAR(FJ$1),MONTH(FJ$1)+InfoM!$H10,InfoM!$I10)</f>
        <v>38961</v>
      </c>
      <c r="FK13" s="30">
        <f ca="1">DATE(YEAR(FK$1),MONTH(FK$1)+InfoM!$H10,InfoM!$I10)</f>
        <v>38991</v>
      </c>
      <c r="FL13" s="30">
        <f ca="1">DATE(YEAR(FL$1),MONTH(FL$1)+InfoM!$H10,InfoM!$I10)</f>
        <v>39022</v>
      </c>
      <c r="FM13" s="30">
        <f ca="1">DATE(YEAR(FM$1),MONTH(FM$1)+InfoM!$H10,InfoM!$I10)</f>
        <v>39052</v>
      </c>
      <c r="FN13" s="30">
        <f ca="1">DATE(YEAR(FN$1),MONTH(FN$1)+InfoM!$H10,InfoM!$I10)</f>
        <v>39083</v>
      </c>
      <c r="FO13" s="30">
        <f ca="1">DATE(YEAR(FO$1),MONTH(FO$1)+InfoM!$H10,InfoM!$I10)</f>
        <v>39114</v>
      </c>
      <c r="FP13" s="30">
        <f ca="1">DATE(YEAR(FP$1),MONTH(FP$1)+InfoM!$H10,InfoM!$I10)</f>
        <v>39142</v>
      </c>
      <c r="FQ13" s="30">
        <f ca="1">DATE(YEAR(FQ$1),MONTH(FQ$1)+InfoM!$H10,InfoM!$I10)</f>
        <v>39173</v>
      </c>
      <c r="FR13" s="30">
        <f ca="1">DATE(YEAR(FR$1),MONTH(FR$1)+InfoM!$H10,InfoM!$I10)</f>
        <v>39203</v>
      </c>
      <c r="FS13" s="30">
        <f ca="1">DATE(YEAR(FS$1),MONTH(FS$1)+InfoM!$H10,InfoM!$I10)</f>
        <v>39234</v>
      </c>
      <c r="FT13" s="30">
        <f ca="1">DATE(YEAR(FT$1),MONTH(FT$1)+InfoM!$H10,InfoM!$I10)</f>
        <v>39264</v>
      </c>
      <c r="FU13" s="30">
        <f ca="1">DATE(YEAR(FU$1),MONTH(FU$1)+InfoM!$H10,InfoM!$I10)</f>
        <v>39295</v>
      </c>
      <c r="FV13" s="30">
        <f ca="1">DATE(YEAR(FV$1),MONTH(FV$1)+InfoM!$H10,InfoM!$I10)</f>
        <v>39326</v>
      </c>
      <c r="FW13" s="30">
        <f ca="1">DATE(YEAR(FW$1),MONTH(FW$1)+InfoM!$H10,InfoM!$I10)</f>
        <v>39356</v>
      </c>
      <c r="FX13" s="30">
        <f ca="1">DATE(YEAR(FX$1),MONTH(FX$1)+InfoM!$H10,InfoM!$I10)</f>
        <v>39387</v>
      </c>
      <c r="FY13" s="30">
        <f ca="1">DATE(YEAR(FY$1),MONTH(FY$1)+InfoM!$H10,InfoM!$I10)</f>
        <v>39417</v>
      </c>
      <c r="FZ13" s="30">
        <f ca="1">DATE(YEAR(FZ$1),MONTH(FZ$1)+InfoM!$H10,InfoM!$I10)</f>
        <v>39448</v>
      </c>
      <c r="GA13" s="30">
        <f ca="1">DATE(YEAR(GA$1),MONTH(GA$1)+InfoM!$H10,InfoM!$I10)</f>
        <v>39479</v>
      </c>
      <c r="GB13" s="30">
        <f ca="1">DATE(YEAR(GB$1),MONTH(GB$1)+InfoM!$H10,InfoM!$I10)</f>
        <v>39508</v>
      </c>
      <c r="GC13" s="30">
        <f ca="1">DATE(YEAR(GC$1),MONTH(GC$1)+InfoM!$H10,InfoM!$I10)</f>
        <v>39539</v>
      </c>
      <c r="GD13" s="30">
        <f ca="1">DATE(YEAR(GD$1),MONTH(GD$1)+InfoM!$H10,InfoM!$I10)</f>
        <v>39569</v>
      </c>
      <c r="GE13" s="30">
        <f ca="1">DATE(YEAR(GE$1),MONTH(GE$1)+InfoM!$H10,InfoM!$I10)</f>
        <v>39600</v>
      </c>
      <c r="GF13" s="30">
        <f ca="1">DATE(YEAR(GF$1),MONTH(GF$1)+InfoM!$H10,InfoM!$I10)</f>
        <v>39630</v>
      </c>
      <c r="GG13" s="30">
        <f ca="1">DATE(YEAR(GG$1),MONTH(GG$1)+InfoM!$H10,InfoM!$I10)</f>
        <v>39661</v>
      </c>
      <c r="GH13" s="30">
        <f ca="1">DATE(YEAR(GH$1),MONTH(GH$1)+InfoM!$H10,InfoM!$I10)</f>
        <v>39692</v>
      </c>
      <c r="GI13" s="30">
        <f ca="1">DATE(YEAR(GI$1),MONTH(GI$1)+InfoM!$H10,InfoM!$I10)</f>
        <v>39722</v>
      </c>
      <c r="GJ13" s="30">
        <f ca="1">DATE(YEAR(GJ$1),MONTH(GJ$1)+InfoM!$H10,InfoM!$I10)</f>
        <v>39753</v>
      </c>
      <c r="GK13" s="30">
        <f ca="1">DATE(YEAR(GK$1),MONTH(GK$1)+InfoM!$H10,InfoM!$I10)</f>
        <v>39783</v>
      </c>
      <c r="GL13" s="30">
        <f ca="1">DATE(YEAR(GL$1),MONTH(GL$1)+InfoM!$H10,InfoM!$I10)</f>
        <v>39814</v>
      </c>
      <c r="GM13" s="30">
        <f ca="1">DATE(YEAR(GM$1),MONTH(GM$1)+InfoM!$H10,InfoM!$I10)</f>
        <v>39845</v>
      </c>
      <c r="GN13" s="30">
        <f ca="1">DATE(YEAR(GN$1),MONTH(GN$1)+InfoM!$H10,InfoM!$I10)</f>
        <v>39873</v>
      </c>
      <c r="GO13" s="30">
        <f ca="1">DATE(YEAR(GO$1),MONTH(GO$1)+InfoM!$H10,InfoM!$I10)</f>
        <v>39904</v>
      </c>
      <c r="GP13" s="30">
        <f ca="1">DATE(YEAR(GP$1),MONTH(GP$1)+InfoM!$H10,InfoM!$I10)</f>
        <v>39934</v>
      </c>
      <c r="GQ13" s="30">
        <f ca="1">DATE(YEAR(GQ$1),MONTH(GQ$1)+InfoM!$H10,InfoM!$I10)</f>
        <v>39965</v>
      </c>
      <c r="GR13" s="30">
        <f ca="1">DATE(YEAR(GR$1),MONTH(GR$1)+InfoM!$H10,InfoM!$I10)</f>
        <v>39995</v>
      </c>
      <c r="GS13" s="30">
        <f ca="1">DATE(YEAR(GS$1),MONTH(GS$1)+InfoM!$H10,InfoM!$I10)</f>
        <v>40026</v>
      </c>
      <c r="GT13" s="30">
        <f ca="1">DATE(YEAR(GT$1),MONTH(GT$1)+InfoM!$H10,InfoM!$I10)</f>
        <v>40057</v>
      </c>
      <c r="GU13" s="30">
        <f ca="1">DATE(YEAR(GU$1),MONTH(GU$1)+InfoM!$H10,InfoM!$I10)</f>
        <v>40087</v>
      </c>
      <c r="GV13" s="30">
        <f ca="1">DATE(YEAR(GV$1),MONTH(GV$1)+InfoM!$H10,InfoM!$I10)</f>
        <v>40118</v>
      </c>
      <c r="GW13" s="30">
        <f ca="1">DATE(YEAR(GW$1),MONTH(GW$1)+InfoM!$H10,InfoM!$I10)</f>
        <v>40148</v>
      </c>
      <c r="GX13" s="30">
        <f ca="1">DATE(YEAR(GX$1),MONTH(GX$1)+InfoM!$H10,InfoM!$I10)</f>
        <v>40179</v>
      </c>
      <c r="GY13" s="30">
        <f ca="1">DATE(YEAR(GY$1),MONTH(GY$1)+InfoM!$H10,InfoM!$I10)</f>
        <v>40210</v>
      </c>
      <c r="GZ13" s="30">
        <f ca="1">DATE(YEAR(GZ$1),MONTH(GZ$1)+InfoM!$H10,InfoM!$I10)</f>
        <v>40238</v>
      </c>
      <c r="HA13" s="30">
        <f ca="1">DATE(YEAR(HA$1),MONTH(HA$1)+InfoM!$H10,InfoM!$I10)</f>
        <v>40269</v>
      </c>
      <c r="HB13" s="30">
        <f ca="1">DATE(YEAR(HB$1),MONTH(HB$1)+InfoM!$H10,InfoM!$I10)</f>
        <v>40299</v>
      </c>
      <c r="HC13" s="30">
        <f ca="1">DATE(YEAR(HC$1),MONTH(HC$1)+InfoM!$H10,InfoM!$I10)</f>
        <v>40330</v>
      </c>
      <c r="HD13" s="30">
        <f ca="1">DATE(YEAR(HD$1),MONTH(HD$1)+InfoM!$H10,InfoM!$I10)</f>
        <v>40360</v>
      </c>
      <c r="HE13" s="30">
        <f ca="1">DATE(YEAR(HE$1),MONTH(HE$1)+InfoM!$H10,InfoM!$I10)</f>
        <v>40391</v>
      </c>
      <c r="HF13" s="30">
        <f ca="1">DATE(YEAR(HF$1),MONTH(HF$1)+InfoM!$H10,InfoM!$I10)</f>
        <v>40422</v>
      </c>
      <c r="HG13" s="30">
        <f ca="1">DATE(YEAR(HG$1),MONTH(HG$1)+InfoM!$H10,InfoM!$I10)</f>
        <v>40452</v>
      </c>
      <c r="HH13" s="30">
        <f ca="1">DATE(YEAR(HH$1),MONTH(HH$1)+InfoM!$H10,InfoM!$I10)</f>
        <v>40483</v>
      </c>
      <c r="HI13" s="30">
        <f ca="1">DATE(YEAR(HI$1),MONTH(HI$1)+InfoM!$H10,InfoM!$I10)</f>
        <v>40513</v>
      </c>
      <c r="HJ13" s="30">
        <f ca="1">DATE(YEAR(HJ$1),MONTH(HJ$1)+InfoM!$H10,InfoM!$I10)</f>
        <v>40544</v>
      </c>
      <c r="HK13" s="30">
        <f ca="1">DATE(YEAR(HK$1),MONTH(HK$1)+InfoM!$H10,InfoM!$I10)</f>
        <v>40575</v>
      </c>
      <c r="HL13" s="30">
        <f ca="1">DATE(YEAR(HL$1),MONTH(HL$1)+InfoM!$H10,InfoM!$I10)</f>
        <v>40603</v>
      </c>
      <c r="HM13" s="30">
        <f ca="1">DATE(YEAR(HM$1),MONTH(HM$1)+InfoM!$H10,InfoM!$I10)</f>
        <v>40634</v>
      </c>
      <c r="HN13" s="30">
        <f ca="1">DATE(YEAR(HN$1),MONTH(HN$1)+InfoM!$H10,InfoM!$I10)</f>
        <v>40664</v>
      </c>
      <c r="HO13" s="30">
        <f ca="1">DATE(YEAR(HO$1),MONTH(HO$1)+InfoM!$H10,InfoM!$I10)</f>
        <v>40695</v>
      </c>
      <c r="HP13" s="30">
        <f ca="1">DATE(YEAR(HP$1),MONTH(HP$1)+InfoM!$H10,InfoM!$I10)</f>
        <v>40725</v>
      </c>
      <c r="HQ13" s="30">
        <f ca="1">DATE(YEAR(HQ$1),MONTH(HQ$1)+InfoM!$H10,InfoM!$I10)</f>
        <v>40756</v>
      </c>
      <c r="HR13" s="30">
        <f ca="1">DATE(YEAR(HR$1),MONTH(HR$1)+InfoM!$H10,InfoM!$I10)</f>
        <v>40787</v>
      </c>
      <c r="HS13" s="30">
        <f ca="1">DATE(YEAR(HS$1),MONTH(HS$1)+InfoM!$H10,InfoM!$I10)</f>
        <v>40817</v>
      </c>
      <c r="HT13" s="30">
        <f ca="1">DATE(YEAR(HT$1),MONTH(HT$1)+InfoM!$H10,InfoM!$I10)</f>
        <v>40848</v>
      </c>
      <c r="HU13" s="30">
        <f ca="1">DATE(YEAR(HU$1),MONTH(HU$1)+InfoM!$H10,InfoM!$I10)</f>
        <v>40878</v>
      </c>
      <c r="HV13" s="30">
        <f ca="1">DATE(YEAR(HV$1),MONTH(HV$1)+InfoM!$H10,InfoM!$I10)</f>
        <v>40909</v>
      </c>
      <c r="HW13" s="30">
        <f ca="1">DATE(YEAR(HW$1),MONTH(HW$1)+InfoM!$H10,InfoM!$I10)</f>
        <v>40940</v>
      </c>
      <c r="HX13" s="30">
        <f ca="1">DATE(YEAR(HX$1),MONTH(HX$1)+InfoM!$H10,InfoM!$I10)</f>
        <v>40969</v>
      </c>
      <c r="HY13" s="30">
        <f ca="1">DATE(YEAR(HY$1),MONTH(HY$1)+InfoM!$H10,InfoM!$I10)</f>
        <v>41000</v>
      </c>
      <c r="HZ13" s="30">
        <f ca="1">DATE(YEAR(HZ$1),MONTH(HZ$1)+InfoM!$H10,InfoM!$I10)</f>
        <v>41030</v>
      </c>
      <c r="IA13" s="30">
        <f ca="1">DATE(YEAR(IA$1),MONTH(IA$1)+InfoM!$H10,InfoM!$I10)</f>
        <v>41061</v>
      </c>
      <c r="IB13" s="30">
        <f ca="1">DATE(YEAR(IB$1),MONTH(IB$1)+InfoM!$H10,InfoM!$I10)</f>
        <v>41091</v>
      </c>
      <c r="IC13" s="30">
        <f ca="1">DATE(YEAR(IC$1),MONTH(IC$1)+InfoM!$H10,InfoM!$I10)</f>
        <v>41122</v>
      </c>
      <c r="ID13" s="30">
        <f ca="1">DATE(YEAR(ID$1),MONTH(ID$1)+InfoM!$H10,InfoM!$I10)</f>
        <v>41153</v>
      </c>
      <c r="IE13" s="30">
        <f ca="1">DATE(YEAR(IE$1),MONTH(IE$1)+InfoM!$H10,InfoM!$I10)</f>
        <v>41183</v>
      </c>
      <c r="IF13" s="30">
        <f ca="1">DATE(YEAR(IF$1),MONTH(IF$1)+InfoM!$H10,InfoM!$I10)</f>
        <v>41214</v>
      </c>
      <c r="IG13" s="30">
        <f ca="1">DATE(YEAR(IG$1),MONTH(IG$1)+InfoM!$H10,InfoM!$I10)</f>
        <v>41244</v>
      </c>
      <c r="IH13" s="30">
        <f ca="1">DATE(YEAR(IH$1),MONTH(IH$1)+InfoM!$H10,InfoM!$I10)</f>
        <v>41275</v>
      </c>
      <c r="II13" s="30">
        <f ca="1">DATE(YEAR(II$1),MONTH(II$1)+InfoM!$H10,InfoM!$I10)</f>
        <v>41306</v>
      </c>
      <c r="IJ13" s="30">
        <f ca="1">DATE(YEAR(IJ$1),MONTH(IJ$1)+InfoM!$H10,InfoM!$I10)</f>
        <v>41334</v>
      </c>
      <c r="IK13" s="30">
        <f ca="1">DATE(YEAR(IK$1),MONTH(IK$1)+InfoM!$H10,InfoM!$I10)</f>
        <v>41365</v>
      </c>
      <c r="IL13" s="30">
        <f ca="1">DATE(YEAR(IL$1),MONTH(IL$1)+InfoM!$H10,InfoM!$I10)</f>
        <v>41395</v>
      </c>
      <c r="IM13" s="30">
        <f ca="1">DATE(YEAR(IM$1),MONTH(IM$1)+InfoM!$H10,InfoM!$I10)</f>
        <v>41426</v>
      </c>
      <c r="IN13" s="30">
        <f ca="1">DATE(YEAR(IN$1),MONTH(IN$1)+InfoM!$H10,InfoM!$I10)</f>
        <v>41456</v>
      </c>
      <c r="IO13" s="30">
        <f ca="1">DATE(YEAR(IO$1),MONTH(IO$1)+InfoM!$H10,InfoM!$I10)</f>
        <v>41487</v>
      </c>
      <c r="IP13" s="30">
        <f ca="1">DATE(YEAR(IP$1),MONTH(IP$1)+InfoM!$H10,InfoM!$I10)</f>
        <v>41518</v>
      </c>
      <c r="IQ13" s="30">
        <f ca="1">DATE(YEAR(IQ$1),MONTH(IQ$1)+InfoM!$H10,InfoM!$I10)</f>
        <v>41548</v>
      </c>
      <c r="IR13" s="30">
        <f ca="1">DATE(YEAR(IR$1),MONTH(IR$1)+InfoM!$H10,InfoM!$I10)</f>
        <v>41579</v>
      </c>
      <c r="IS13" s="30">
        <f ca="1">DATE(YEAR(IS$1),MONTH(IS$1)+InfoM!$H10,InfoM!$I10)</f>
        <v>41609</v>
      </c>
      <c r="IT13" s="30">
        <f ca="1">DATE(YEAR(IT$1),MONTH(IT$1)+InfoM!$H10,InfoM!$I10)</f>
        <v>41640</v>
      </c>
      <c r="IU13" s="30">
        <f ca="1">DATE(YEAR(IU$1),MONTH(IU$1)+InfoM!$H10,InfoM!$I10)</f>
        <v>41671</v>
      </c>
      <c r="IV13" s="30">
        <f ca="1">DATE(YEAR(IV$1),MONTH(IV$1)+InfoM!$H10,InfoM!$I10)</f>
        <v>41699</v>
      </c>
      <c r="IW13" s="30">
        <f ca="1">DATE(YEAR(IW$1),MONTH(IW$1)+InfoM!$H10,InfoM!$I10)</f>
        <v>41730</v>
      </c>
      <c r="IX13" s="30">
        <f ca="1">DATE(YEAR(IX$1),MONTH(IX$1)+InfoM!$H10,InfoM!$I10)</f>
        <v>41760</v>
      </c>
      <c r="IY13" s="30">
        <f ca="1">DATE(YEAR(IY$1),MONTH(IY$1)+InfoM!$H10,InfoM!$I10)</f>
        <v>41791</v>
      </c>
      <c r="IZ13" s="30">
        <f ca="1">DATE(YEAR(IZ$1),MONTH(IZ$1)+InfoM!$H10,InfoM!$I10)</f>
        <v>41821</v>
      </c>
      <c r="JA13" s="30">
        <f ca="1">DATE(YEAR(JA$1),MONTH(JA$1)+InfoM!$H10,InfoM!$I10)</f>
        <v>41852</v>
      </c>
      <c r="JB13" s="30">
        <f ca="1">DATE(YEAR(JB$1),MONTH(JB$1)+InfoM!$H10,InfoM!$I10)</f>
        <v>41883</v>
      </c>
      <c r="JC13" s="30">
        <f ca="1">DATE(YEAR(JC$1),MONTH(JC$1)+InfoM!$H10,InfoM!$I10)</f>
        <v>41913</v>
      </c>
      <c r="JD13" s="30">
        <f ca="1">DATE(YEAR(JD$1),MONTH(JD$1)+InfoM!$H10,InfoM!$I10)</f>
        <v>41944</v>
      </c>
      <c r="JE13" s="30">
        <f ca="1">DATE(YEAR(JE$1),MONTH(JE$1)+InfoM!$H10,InfoM!$I10)</f>
        <v>41974</v>
      </c>
      <c r="JF13" s="30">
        <f ca="1">DATE(YEAR(JF$1),MONTH(JF$1)+InfoM!$H10,InfoM!$I10)</f>
        <v>42005</v>
      </c>
      <c r="JG13" s="30">
        <f ca="1">DATE(YEAR(JG$1),MONTH(JG$1)+InfoM!$H10,InfoM!$I10)</f>
        <v>42036</v>
      </c>
      <c r="JH13" s="30">
        <f ca="1">DATE(YEAR(JH$1),MONTH(JH$1)+InfoM!$H10,InfoM!$I10)</f>
        <v>42064</v>
      </c>
      <c r="JI13" s="30">
        <f ca="1">DATE(YEAR(JI$1),MONTH(JI$1)+InfoM!$H10,InfoM!$I10)</f>
        <v>42095</v>
      </c>
      <c r="JJ13" s="30">
        <f ca="1">DATE(YEAR(JJ$1),MONTH(JJ$1)+InfoM!$H10,InfoM!$I10)</f>
        <v>42125</v>
      </c>
      <c r="JK13" s="30">
        <f ca="1">DATE(YEAR(JK$1),MONTH(JK$1)+InfoM!$H10,InfoM!$I10)</f>
        <v>42156</v>
      </c>
      <c r="JL13" s="30">
        <f ca="1">DATE(YEAR(JL$1),MONTH(JL$1)+InfoM!$H10,InfoM!$I10)</f>
        <v>42186</v>
      </c>
      <c r="JM13" s="30">
        <f ca="1">DATE(YEAR(JM$1),MONTH(JM$1)+InfoM!$H10,InfoM!$I10)</f>
        <v>42217</v>
      </c>
      <c r="JN13" s="30">
        <f ca="1">DATE(YEAR(JN$1),MONTH(JN$1)+InfoM!$H10,InfoM!$I10)</f>
        <v>42248</v>
      </c>
      <c r="JO13" s="30">
        <f ca="1">DATE(YEAR(JO$1),MONTH(JO$1)+InfoM!$H10,InfoM!$I10)</f>
        <v>42278</v>
      </c>
      <c r="JP13" s="30">
        <f ca="1">DATE(YEAR(JP$1),MONTH(JP$1)+InfoM!$H10,InfoM!$I10)</f>
        <v>42309</v>
      </c>
      <c r="JQ13" s="30">
        <f ca="1">DATE(YEAR(JQ$1),MONTH(JQ$1)+InfoM!$H10,InfoM!$I10)</f>
        <v>42339</v>
      </c>
      <c r="JR13" s="30">
        <f ca="1">DATE(YEAR(JR$1),MONTH(JR$1)+InfoM!$H10,InfoM!$I10)</f>
        <v>42370</v>
      </c>
      <c r="JS13" s="30">
        <f ca="1">DATE(YEAR(JS$1),MONTH(JS$1)+InfoM!$H10,InfoM!$I10)</f>
        <v>42401</v>
      </c>
      <c r="JT13" s="30">
        <f ca="1">DATE(YEAR(JT$1),MONTH(JT$1)+InfoM!$H10,InfoM!$I10)</f>
        <v>42430</v>
      </c>
      <c r="JU13" s="30">
        <f ca="1">DATE(YEAR(JU$1),MONTH(JU$1)+InfoM!$H10,InfoM!$I10)</f>
        <v>42461</v>
      </c>
      <c r="JV13" s="30">
        <f ca="1">DATE(YEAR(JV$1),MONTH(JV$1)+InfoM!$H10,InfoM!$I10)</f>
        <v>42491</v>
      </c>
      <c r="JW13" s="30">
        <f ca="1">DATE(YEAR(JW$1),MONTH(JW$1)+InfoM!$H10,InfoM!$I10)</f>
        <v>42522</v>
      </c>
      <c r="JX13" s="30">
        <f ca="1">DATE(YEAR(JX$1),MONTH(JX$1)+InfoM!$H10,InfoM!$I10)</f>
        <v>42552</v>
      </c>
      <c r="JY13" s="30">
        <f ca="1">DATE(YEAR(JY$1),MONTH(JY$1)+InfoM!$H10,InfoM!$I10)</f>
        <v>42583</v>
      </c>
      <c r="JZ13" s="30">
        <f ca="1">DATE(YEAR(JZ$1),MONTH(JZ$1)+InfoM!$H10,InfoM!$I10)</f>
        <v>42614</v>
      </c>
      <c r="KA13" s="30">
        <f ca="1">DATE(YEAR(KA$1),MONTH(KA$1)+InfoM!$H10,InfoM!$I10)</f>
        <v>42644</v>
      </c>
      <c r="KB13" s="30">
        <f ca="1">DATE(YEAR(KB$1),MONTH(KB$1)+InfoM!$H10,InfoM!$I10)</f>
        <v>42675</v>
      </c>
      <c r="KC13" s="30">
        <f ca="1">DATE(YEAR(KC$1),MONTH(KC$1)+InfoM!$H10,InfoM!$I10)</f>
        <v>42705</v>
      </c>
      <c r="KD13" s="30">
        <f ca="1">DATE(YEAR(KD$1),MONTH(KD$1)+InfoM!$H10,InfoM!$I10)</f>
        <v>42736</v>
      </c>
      <c r="KE13" s="30">
        <f ca="1">DATE(YEAR(KE$1),MONTH(KE$1)+InfoM!$H10,InfoM!$I10)</f>
        <v>42767</v>
      </c>
      <c r="KF13" s="30">
        <f ca="1">DATE(YEAR(KF$1),MONTH(KF$1)+InfoM!$H10,InfoM!$I10)</f>
        <v>42795</v>
      </c>
      <c r="KG13" s="30">
        <f ca="1">DATE(YEAR(KG$1),MONTH(KG$1)+InfoM!$H10,InfoM!$I10)</f>
        <v>42826</v>
      </c>
      <c r="KH13" s="30">
        <f ca="1">DATE(YEAR(KH$1),MONTH(KH$1)+InfoM!$H10,InfoM!$I10)</f>
        <v>42856</v>
      </c>
      <c r="KI13" s="30">
        <f ca="1">DATE(YEAR(KI$1),MONTH(KI$1)+InfoM!$H10,InfoM!$I10)</f>
        <v>42887</v>
      </c>
      <c r="KJ13" s="30">
        <f ca="1">DATE(YEAR(KJ$1),MONTH(KJ$1)+InfoM!$H10,InfoM!$I10)</f>
        <v>42917</v>
      </c>
      <c r="KK13" s="30">
        <f ca="1">DATE(YEAR(KK$1),MONTH(KK$1)+InfoM!$H10,InfoM!$I10)</f>
        <v>42948</v>
      </c>
      <c r="KL13" s="30">
        <f ca="1">DATE(YEAR(KL$1),MONTH(KL$1)+InfoM!$H10,InfoM!$I10)</f>
        <v>42979</v>
      </c>
      <c r="KM13" s="30">
        <f ca="1">DATE(YEAR(KM$1),MONTH(KM$1)+InfoM!$H10,InfoM!$I10)</f>
        <v>43009</v>
      </c>
      <c r="KN13" s="30">
        <f ca="1">DATE(YEAR(KN$1),MONTH(KN$1)+InfoM!$H10,InfoM!$I10)</f>
        <v>43040</v>
      </c>
      <c r="KO13" s="30">
        <f ca="1">DATE(YEAR(KO$1),MONTH(KO$1)+InfoM!$H10,InfoM!$I10)</f>
        <v>43070</v>
      </c>
      <c r="KP13" s="30">
        <f ca="1">DATE(YEAR(KP$1),MONTH(KP$1)+InfoM!$H10,InfoM!$I10)</f>
        <v>43101</v>
      </c>
      <c r="KQ13" s="30">
        <f ca="1">DATE(YEAR(KQ$1),MONTH(KQ$1)+InfoM!$H10,InfoM!$I10)</f>
        <v>43132</v>
      </c>
      <c r="KR13" s="30">
        <f ca="1">DATE(YEAR(KR$1),MONTH(KR$1)+InfoM!$H10,InfoM!$I10)</f>
        <v>43160</v>
      </c>
      <c r="KS13" s="30">
        <f ca="1">DATE(YEAR(KS$1),MONTH(KS$1)+InfoM!$H10,InfoM!$I10)</f>
        <v>43191</v>
      </c>
      <c r="KT13" s="30">
        <f ca="1">DATE(YEAR(KT$1),MONTH(KT$1)+InfoM!$H10,InfoM!$I10)</f>
        <v>43221</v>
      </c>
      <c r="KU13" s="30">
        <f ca="1">DATE(YEAR(KU$1),MONTH(KU$1)+InfoM!$H10,InfoM!$I10)</f>
        <v>43252</v>
      </c>
      <c r="KV13" s="30">
        <f ca="1">DATE(YEAR(KV$1),MONTH(KV$1)+InfoM!$H10,InfoM!$I10)</f>
        <v>43282</v>
      </c>
      <c r="KW13" s="30">
        <f ca="1">DATE(YEAR(KW$1),MONTH(KW$1)+InfoM!$H10,InfoM!$I10)</f>
        <v>43313</v>
      </c>
      <c r="KX13" s="30">
        <f ca="1">DATE(YEAR(KX$1),MONTH(KX$1)+InfoM!$H10,InfoM!$I10)</f>
        <v>43344</v>
      </c>
      <c r="KY13" s="30">
        <f ca="1">DATE(YEAR(KY$1),MONTH(KY$1)+InfoM!$H10,InfoM!$I10)</f>
        <v>43374</v>
      </c>
      <c r="KZ13" s="30">
        <f ca="1">DATE(YEAR(KZ$1),MONTH(KZ$1)+InfoM!$H10,InfoM!$I10)</f>
        <v>43405</v>
      </c>
      <c r="LA13" s="30">
        <f ca="1">DATE(YEAR(LA$1),MONTH(LA$1)+InfoM!$H10,InfoM!$I10)</f>
        <v>43435</v>
      </c>
      <c r="LB13" s="30">
        <f ca="1">DATE(YEAR(LB$1),MONTH(LB$1)+InfoM!$H10,InfoM!$I10)</f>
        <v>43466</v>
      </c>
      <c r="LC13" s="30">
        <f ca="1">DATE(YEAR(LC$1),MONTH(LC$1)+InfoM!$H10,InfoM!$I10)</f>
        <v>43497</v>
      </c>
      <c r="LD13" s="30">
        <f ca="1">DATE(YEAR(LD$1),MONTH(LD$1)+InfoM!$H10,InfoM!$I10)</f>
        <v>43525</v>
      </c>
      <c r="LE13" s="30">
        <f ca="1">DATE(YEAR(LE$1),MONTH(LE$1)+InfoM!$H10,InfoM!$I10)</f>
        <v>43556</v>
      </c>
      <c r="LF13" s="30">
        <f ca="1">DATE(YEAR(LF$1),MONTH(LF$1)+InfoM!$H10,InfoM!$I10)</f>
        <v>43586</v>
      </c>
      <c r="LG13" s="30">
        <f ca="1">DATE(YEAR(LG$1),MONTH(LG$1)+InfoM!$H10,InfoM!$I10)</f>
        <v>43617</v>
      </c>
      <c r="LH13" s="30">
        <f ca="1">DATE(YEAR(LH$1),MONTH(LH$1)+InfoM!$H10,InfoM!$I10)</f>
        <v>43647</v>
      </c>
      <c r="LI13" s="30">
        <f ca="1">DATE(YEAR(LI$1),MONTH(LI$1)+InfoM!$H10,InfoM!$I10)</f>
        <v>43678</v>
      </c>
      <c r="LJ13" s="30">
        <f ca="1">DATE(YEAR(LJ$1),MONTH(LJ$1)+InfoM!$H10,InfoM!$I10)</f>
        <v>43709</v>
      </c>
      <c r="LK13" s="30">
        <f ca="1">DATE(YEAR(LK$1),MONTH(LK$1)+InfoM!$H10,InfoM!$I10)</f>
        <v>43739</v>
      </c>
      <c r="LL13" s="30">
        <f ca="1">DATE(YEAR(LL$1),MONTH(LL$1)+InfoM!$H10,InfoM!$I10)</f>
        <v>43770</v>
      </c>
      <c r="LM13" s="30">
        <f ca="1">DATE(YEAR(LM$1),MONTH(LM$1)+InfoM!$H10,InfoM!$I10)</f>
        <v>43800</v>
      </c>
      <c r="LN13" s="30">
        <f ca="1">DATE(YEAR(LN$1),MONTH(LN$1)+InfoM!$H10,InfoM!$I10)</f>
        <v>43831</v>
      </c>
      <c r="LO13" s="30">
        <f ca="1">DATE(YEAR(LO$1),MONTH(LO$1)+InfoM!$H10,InfoM!$I10)</f>
        <v>43862</v>
      </c>
      <c r="LP13" s="30">
        <f ca="1">DATE(YEAR(LP$1),MONTH(LP$1)+InfoM!$H10,InfoM!$I10)</f>
        <v>43891</v>
      </c>
      <c r="LQ13" s="30">
        <f ca="1">DATE(YEAR(LQ$1),MONTH(LQ$1)+InfoM!$H10,InfoM!$I10)</f>
        <v>43922</v>
      </c>
      <c r="LR13" s="30">
        <f ca="1">DATE(YEAR(LR$1),MONTH(LR$1)+InfoM!$H10,InfoM!$I10)</f>
        <v>43952</v>
      </c>
      <c r="LS13" s="30">
        <f ca="1">DATE(YEAR(LS$1),MONTH(LS$1)+InfoM!$H10,InfoM!$I10)</f>
        <v>43983</v>
      </c>
      <c r="LT13" s="30">
        <f ca="1">DATE(YEAR(LT$1),MONTH(LT$1)+InfoM!$H10,InfoM!$I10)</f>
        <v>44013</v>
      </c>
      <c r="LU13" s="30">
        <f ca="1">DATE(YEAR(LU$1),MONTH(LU$1)+InfoM!$H10,InfoM!$I10)</f>
        <v>44044</v>
      </c>
      <c r="LV13" s="30">
        <f ca="1">DATE(YEAR(LV$1),MONTH(LV$1)+InfoM!$H10,InfoM!$I10)</f>
        <v>44075</v>
      </c>
      <c r="LW13" s="30">
        <f ca="1">DATE(YEAR(LW$1),MONTH(LW$1)+InfoM!$H10,InfoM!$I10)</f>
        <v>44105</v>
      </c>
      <c r="LX13" s="30">
        <f ca="1">DATE(YEAR(LX$1),MONTH(LX$1)+InfoM!$H10,InfoM!$I10)</f>
        <v>44136</v>
      </c>
      <c r="LY13" s="30">
        <f ca="1">DATE(YEAR(LY$1),MONTH(LY$1)+InfoM!$H10,InfoM!$I10)</f>
        <v>44166</v>
      </c>
      <c r="LZ13" s="30">
        <f ca="1">DATE(YEAR(LZ$1),MONTH(LZ$1)+InfoM!$H10,InfoM!$I10)</f>
        <v>44197</v>
      </c>
      <c r="MA13" s="30">
        <f ca="1">DATE(YEAR(MA$1),MONTH(MA$1)+InfoM!$H10,InfoM!$I10)</f>
        <v>44228</v>
      </c>
      <c r="MB13" s="30">
        <f ca="1">DATE(YEAR(MB$1),MONTH(MB$1)+InfoM!$H10,InfoM!$I10)</f>
        <v>44256</v>
      </c>
      <c r="MC13" s="30">
        <f ca="1">DATE(YEAR(MC$1),MONTH(MC$1)+InfoM!$H10,InfoM!$I10)</f>
        <v>44287</v>
      </c>
      <c r="MD13" s="30">
        <f ca="1">DATE(YEAR(MD$1),MONTH(MD$1)+InfoM!$H10,InfoM!$I10)</f>
        <v>44317</v>
      </c>
      <c r="ME13" s="30">
        <f ca="1">DATE(YEAR(ME$1),MONTH(ME$1)+InfoM!$H10,InfoM!$I10)</f>
        <v>44348</v>
      </c>
      <c r="MF13" s="30">
        <f ca="1">DATE(YEAR(MF$1),MONTH(MF$1)+InfoM!$H10,InfoM!$I10)</f>
        <v>44378</v>
      </c>
      <c r="MG13" s="30">
        <f ca="1">DATE(YEAR(MG$1),MONTH(MG$1)+InfoM!$H10,InfoM!$I10)</f>
        <v>44409</v>
      </c>
      <c r="MH13" s="30">
        <f ca="1">DATE(YEAR(MH$1),MONTH(MH$1)+InfoM!$H10,InfoM!$I10)</f>
        <v>44440</v>
      </c>
      <c r="MI13" s="30">
        <f ca="1">DATE(YEAR(MI$1),MONTH(MI$1)+InfoM!$H10,InfoM!$I10)</f>
        <v>44470</v>
      </c>
      <c r="MJ13" s="30">
        <f ca="1">DATE(YEAR(MJ$1),MONTH(MJ$1)+InfoM!$H10,InfoM!$I10)</f>
        <v>44501</v>
      </c>
      <c r="MK13" s="30">
        <f ca="1">DATE(YEAR(MK$1),MONTH(MK$1)+InfoM!$H10,InfoM!$I10)</f>
        <v>44531</v>
      </c>
      <c r="ML13" s="30">
        <f ca="1">DATE(YEAR(ML$1),MONTH(ML$1)+InfoM!$H10,InfoM!$I10)</f>
        <v>44562</v>
      </c>
      <c r="MM13" s="30">
        <f ca="1">DATE(YEAR(MM$1),MONTH(MM$1)+InfoM!$H10,InfoM!$I10)</f>
        <v>44593</v>
      </c>
      <c r="MN13" s="30">
        <f ca="1">DATE(YEAR(MN$1),MONTH(MN$1)+InfoM!$H10,InfoM!$I10)</f>
        <v>44621</v>
      </c>
      <c r="MO13" s="30">
        <f ca="1">DATE(YEAR(MO$1),MONTH(MO$1)+InfoM!$H10,InfoM!$I10)</f>
        <v>44652</v>
      </c>
      <c r="MP13" s="30">
        <f ca="1">DATE(YEAR(MP$1),MONTH(MP$1)+InfoM!$H10,InfoM!$I10)</f>
        <v>44682</v>
      </c>
      <c r="MQ13" s="30">
        <f ca="1">DATE(YEAR(MQ$1),MONTH(MQ$1)+InfoM!$H10,InfoM!$I10)</f>
        <v>44713</v>
      </c>
      <c r="MR13" s="30">
        <f ca="1">DATE(YEAR(MR$1),MONTH(MR$1)+InfoM!$H10,InfoM!$I10)</f>
        <v>44743</v>
      </c>
      <c r="MS13" s="30">
        <f ca="1">DATE(YEAR(MS$1),MONTH(MS$1)+InfoM!$H10,InfoM!$I10)</f>
        <v>44774</v>
      </c>
      <c r="MT13" s="30">
        <f ca="1">DATE(YEAR(MT$1),MONTH(MT$1)+InfoM!$H10,InfoM!$I10)</f>
        <v>44805</v>
      </c>
      <c r="MU13" s="30">
        <f ca="1">DATE(YEAR(MU$1),MONTH(MU$1)+InfoM!$H10,InfoM!$I10)</f>
        <v>44835</v>
      </c>
      <c r="MV13" s="30">
        <f ca="1">DATE(YEAR(MV$1),MONTH(MV$1)+InfoM!$H10,InfoM!$I10)</f>
        <v>44866</v>
      </c>
      <c r="MW13" s="30">
        <f ca="1">DATE(YEAR(MW$1),MONTH(MW$1)+InfoM!$H10,InfoM!$I10)</f>
        <v>44896</v>
      </c>
      <c r="MX13" s="30">
        <f ca="1">DATE(YEAR(MX$1),MONTH(MX$1)+InfoM!$H10,InfoM!$I10)</f>
        <v>44927</v>
      </c>
      <c r="MY13" s="30">
        <f ca="1">DATE(YEAR(MY$1),MONTH(MY$1)+InfoM!$H10,InfoM!$I10)</f>
        <v>44958</v>
      </c>
      <c r="MZ13" s="30">
        <f ca="1">DATE(YEAR(MZ$1),MONTH(MZ$1)+InfoM!$H10,InfoM!$I10)</f>
        <v>44986</v>
      </c>
      <c r="NA13" s="30">
        <f ca="1">DATE(YEAR(NA$1),MONTH(NA$1)+InfoM!$H10,InfoM!$I10)</f>
        <v>45017</v>
      </c>
      <c r="NB13" s="30">
        <f ca="1">DATE(YEAR(NB$1),MONTH(NB$1)+InfoM!$H10,InfoM!$I10)</f>
        <v>45047</v>
      </c>
      <c r="NC13" s="30">
        <f ca="1">DATE(YEAR(NC$1),MONTH(NC$1)+InfoM!$H10,InfoM!$I10)</f>
        <v>45078</v>
      </c>
      <c r="ND13" s="30">
        <f ca="1">DATE(YEAR(ND$1),MONTH(ND$1)+InfoM!$H10,InfoM!$I10)</f>
        <v>45108</v>
      </c>
      <c r="NE13" s="30">
        <f ca="1">DATE(YEAR(NE$1),MONTH(NE$1)+InfoM!$H10,InfoM!$I10)</f>
        <v>45139</v>
      </c>
      <c r="NF13" s="30">
        <f ca="1">DATE(YEAR(NF$1),MONTH(NF$1)+InfoM!$H10,InfoM!$I10)</f>
        <v>45170</v>
      </c>
      <c r="NG13" s="30">
        <f ca="1">DATE(YEAR(NG$1),MONTH(NG$1)+InfoM!$H10,InfoM!$I10)</f>
        <v>45200</v>
      </c>
      <c r="NH13" s="30">
        <f ca="1">DATE(YEAR(NH$1),MONTH(NH$1)+InfoM!$H10,InfoM!$I10)</f>
        <v>45231</v>
      </c>
      <c r="NI13" s="30">
        <f ca="1">DATE(YEAR(NI$1),MONTH(NI$1)+InfoM!$H10,InfoM!$I10)</f>
        <v>45261</v>
      </c>
      <c r="NJ13" s="30">
        <f ca="1">DATE(YEAR(NJ$1),MONTH(NJ$1)+InfoM!$H10,InfoM!$I10)</f>
        <v>45292</v>
      </c>
      <c r="NK13" s="30">
        <f ca="1">DATE(YEAR(NK$1),MONTH(NK$1)+InfoM!$H10,InfoM!$I10)</f>
        <v>45323</v>
      </c>
      <c r="NL13" s="30">
        <f ca="1">DATE(YEAR(NL$1),MONTH(NL$1)+InfoM!$H10,InfoM!$I10)</f>
        <v>45352</v>
      </c>
      <c r="NM13" s="30">
        <f ca="1">DATE(YEAR(NM$1),MONTH(NM$1)+InfoM!$H10,InfoM!$I10)</f>
        <v>45383</v>
      </c>
      <c r="NN13" s="30">
        <f ca="1">DATE(YEAR(NN$1),MONTH(NN$1)+InfoM!$H10,InfoM!$I10)</f>
        <v>45413</v>
      </c>
      <c r="NO13" s="30">
        <f ca="1">DATE(YEAR(NO$1),MONTH(NO$1)+InfoM!$H10,InfoM!$I10)</f>
        <v>45444</v>
      </c>
      <c r="NP13" s="30">
        <f ca="1">DATE(YEAR(NP$1),MONTH(NP$1)+InfoM!$H10,InfoM!$I10)</f>
        <v>45474</v>
      </c>
      <c r="NQ13" s="30">
        <f ca="1">DATE(YEAR(NQ$1),MONTH(NQ$1)+InfoM!$H10,InfoM!$I10)</f>
        <v>45505</v>
      </c>
      <c r="NR13" s="30">
        <f ca="1">DATE(YEAR(NR$1),MONTH(NR$1)+InfoM!$H10,InfoM!$I10)</f>
        <v>45536</v>
      </c>
      <c r="NS13" s="30">
        <f ca="1">DATE(YEAR(NS$1),MONTH(NS$1)+InfoM!$H10,InfoM!$I10)</f>
        <v>45566</v>
      </c>
      <c r="NT13" s="30">
        <f ca="1">DATE(YEAR(NT$1),MONTH(NT$1)+InfoM!$H10,InfoM!$I10)</f>
        <v>45597</v>
      </c>
      <c r="NU13" s="30">
        <f ca="1">DATE(YEAR(NU$1),MONTH(NU$1)+InfoM!$H10,InfoM!$I10)</f>
        <v>45627</v>
      </c>
      <c r="NV13" s="30">
        <f ca="1">DATE(YEAR(NV$1),MONTH(NV$1)+InfoM!$H10,InfoM!$I10)</f>
        <v>45658</v>
      </c>
      <c r="NW13" s="30">
        <f ca="1">DATE(YEAR(NW$1),MONTH(NW$1)+InfoM!$H10,InfoM!$I10)</f>
        <v>45689</v>
      </c>
      <c r="NX13" s="30">
        <f ca="1">DATE(YEAR(NX$1),MONTH(NX$1)+InfoM!$H10,InfoM!$I10)</f>
        <v>45717</v>
      </c>
      <c r="NY13" s="30">
        <f ca="1">DATE(YEAR(NY$1),MONTH(NY$1)+InfoM!$H10,InfoM!$I10)</f>
        <v>45748</v>
      </c>
      <c r="NZ13" s="30">
        <f ca="1">DATE(YEAR(NZ$1),MONTH(NZ$1)+InfoM!$H10,InfoM!$I10)</f>
        <v>45778</v>
      </c>
      <c r="OA13" s="30">
        <f ca="1">DATE(YEAR(OA$1),MONTH(OA$1)+InfoM!$H10,InfoM!$I10)</f>
        <v>45809</v>
      </c>
      <c r="OB13" s="30">
        <f ca="1">DATE(YEAR(OB$1),MONTH(OB$1)+InfoM!$H10,InfoM!$I10)</f>
        <v>45839</v>
      </c>
      <c r="OC13" s="30">
        <f ca="1">DATE(YEAR(OC$1),MONTH(OC$1)+InfoM!$H10,InfoM!$I10)</f>
        <v>45870</v>
      </c>
      <c r="OD13" s="30">
        <f ca="1">DATE(YEAR(OD$1),MONTH(OD$1)+InfoM!$H10,InfoM!$I10)</f>
        <v>45901</v>
      </c>
      <c r="OE13" s="30">
        <f ca="1">DATE(YEAR(OE$1),MONTH(OE$1)+InfoM!$H10,InfoM!$I10)</f>
        <v>45931</v>
      </c>
      <c r="OF13" s="30">
        <f ca="1">DATE(YEAR(OF$1),MONTH(OF$1)+InfoM!$H10,InfoM!$I10)</f>
        <v>45962</v>
      </c>
      <c r="OG13" s="30">
        <f ca="1">DATE(YEAR(OG$1),MONTH(OG$1)+InfoM!$H10,InfoM!$I10)</f>
        <v>45992</v>
      </c>
      <c r="OH13" s="30">
        <f ca="1">DATE(YEAR(OH$1),MONTH(OH$1)+InfoM!$H10,InfoM!$I10)</f>
        <v>46023</v>
      </c>
      <c r="OI13" s="30">
        <f ca="1">DATE(YEAR(OI$1),MONTH(OI$1)+InfoM!$H10,InfoM!$I10)</f>
        <v>46054</v>
      </c>
      <c r="OJ13" s="30">
        <f ca="1">DATE(YEAR(OJ$1),MONTH(OJ$1)+InfoM!$H10,InfoM!$I10)</f>
        <v>46082</v>
      </c>
      <c r="OK13" s="30">
        <f ca="1">DATE(YEAR(OK$1),MONTH(OK$1)+InfoM!$H10,InfoM!$I10)</f>
        <v>46113</v>
      </c>
      <c r="OL13" s="30">
        <f ca="1">DATE(YEAR(OL$1),MONTH(OL$1)+InfoM!$H10,InfoM!$I10)</f>
        <v>46143</v>
      </c>
      <c r="OM13" s="30">
        <f ca="1">DATE(YEAR(OM$1),MONTH(OM$1)+InfoM!$H10,InfoM!$I10)</f>
        <v>46174</v>
      </c>
      <c r="ON13" s="30">
        <f ca="1">DATE(YEAR(ON$1),MONTH(ON$1)+InfoM!$H10,InfoM!$I10)</f>
        <v>46204</v>
      </c>
      <c r="OO13" s="30">
        <f ca="1">DATE(YEAR(OO$1),MONTH(OO$1)+InfoM!$H10,InfoM!$I10)</f>
        <v>46235</v>
      </c>
      <c r="OP13" s="30">
        <f ca="1">DATE(YEAR(OP$1),MONTH(OP$1)+InfoM!$H10,InfoM!$I10)</f>
        <v>46266</v>
      </c>
      <c r="OQ13" s="30">
        <f ca="1">DATE(YEAR(OQ$1),MONTH(OQ$1)+InfoM!$H10,InfoM!$I10)</f>
        <v>46296</v>
      </c>
      <c r="OR13" s="30">
        <f ca="1">DATE(YEAR(OR$1),MONTH(OR$1)+InfoM!$H10,InfoM!$I10)</f>
        <v>46327</v>
      </c>
      <c r="OS13" s="30">
        <f ca="1">DATE(YEAR(OS$1),MONTH(OS$1)+InfoM!$H10,InfoM!$I10)</f>
        <v>46357</v>
      </c>
      <c r="OT13" s="30">
        <f ca="1">DATE(YEAR(OT$1),MONTH(OT$1)+InfoM!$H10,InfoM!$I10)</f>
        <v>46388</v>
      </c>
    </row>
    <row r="14" spans="1:410" x14ac:dyDescent="0.35">
      <c r="A14" s="19" t="str">
        <f>InfoM!A11</f>
        <v>Forex</v>
      </c>
      <c r="B14">
        <f>InfoM!G11</f>
        <v>0</v>
      </c>
      <c r="C14" s="30">
        <f>DATE(YEAR(C$1),MONTH(C$1)+InfoM!$H11,InfoM!$I11)</f>
        <v>34001</v>
      </c>
      <c r="D14" s="30">
        <f ca="1">DATE(YEAR(D$1),MONTH(D$1)+InfoM!$H11,InfoM!$I11)</f>
        <v>34029</v>
      </c>
      <c r="E14" s="30">
        <f ca="1">DATE(YEAR(E$1),MONTH(E$1)+InfoM!$H11,InfoM!$I11)</f>
        <v>34060</v>
      </c>
      <c r="F14" s="30">
        <f ca="1">DATE(YEAR(F$1),MONTH(F$1)+InfoM!$H11,InfoM!$I11)</f>
        <v>34090</v>
      </c>
      <c r="G14" s="30">
        <f ca="1">DATE(YEAR(G$1),MONTH(G$1)+InfoM!$H11,InfoM!$I11)</f>
        <v>34121</v>
      </c>
      <c r="H14" s="30">
        <f ca="1">DATE(YEAR(H$1),MONTH(H$1)+InfoM!$H11,InfoM!$I11)</f>
        <v>34151</v>
      </c>
      <c r="I14" s="30">
        <f ca="1">DATE(YEAR(I$1),MONTH(I$1)+InfoM!$H11,InfoM!$I11)</f>
        <v>34182</v>
      </c>
      <c r="J14" s="30">
        <f ca="1">DATE(YEAR(J$1),MONTH(J$1)+InfoM!$H11,InfoM!$I11)</f>
        <v>34213</v>
      </c>
      <c r="K14" s="30">
        <f ca="1">DATE(YEAR(K$1),MONTH(K$1)+InfoM!$H11,InfoM!$I11)</f>
        <v>34243</v>
      </c>
      <c r="L14" s="30">
        <f ca="1">DATE(YEAR(L$1),MONTH(L$1)+InfoM!$H11,InfoM!$I11)</f>
        <v>34274</v>
      </c>
      <c r="M14" s="30">
        <f ca="1">DATE(YEAR(M$1),MONTH(M$1)+InfoM!$H11,InfoM!$I11)</f>
        <v>34304</v>
      </c>
      <c r="N14" s="30">
        <f ca="1">DATE(YEAR(N$1),MONTH(N$1)+InfoM!$H11,InfoM!$I11)</f>
        <v>34335</v>
      </c>
      <c r="O14" s="30">
        <f ca="1">DATE(YEAR(O$1),MONTH(O$1)+InfoM!$H11,InfoM!$I11)</f>
        <v>34366</v>
      </c>
      <c r="P14" s="30">
        <f ca="1">DATE(YEAR(P$1),MONTH(P$1)+InfoM!$H11,InfoM!$I11)</f>
        <v>34394</v>
      </c>
      <c r="Q14" s="30">
        <f ca="1">DATE(YEAR(Q$1),MONTH(Q$1)+InfoM!$H11,InfoM!$I11)</f>
        <v>34425</v>
      </c>
      <c r="R14" s="30">
        <f ca="1">DATE(YEAR(R$1),MONTH(R$1)+InfoM!$H11,InfoM!$I11)</f>
        <v>34455</v>
      </c>
      <c r="S14" s="30">
        <f ca="1">DATE(YEAR(S$1),MONTH(S$1)+InfoM!$H11,InfoM!$I11)</f>
        <v>34486</v>
      </c>
      <c r="T14" s="30">
        <f ca="1">DATE(YEAR(T$1),MONTH(T$1)+InfoM!$H11,InfoM!$I11)</f>
        <v>34516</v>
      </c>
      <c r="U14" s="30">
        <f ca="1">DATE(YEAR(U$1),MONTH(U$1)+InfoM!$H11,InfoM!$I11)</f>
        <v>34547</v>
      </c>
      <c r="V14" s="30">
        <f ca="1">DATE(YEAR(V$1),MONTH(V$1)+InfoM!$H11,InfoM!$I11)</f>
        <v>34578</v>
      </c>
      <c r="W14" s="30">
        <f ca="1">DATE(YEAR(W$1),MONTH(W$1)+InfoM!$H11,InfoM!$I11)</f>
        <v>34608</v>
      </c>
      <c r="X14" s="30">
        <f ca="1">DATE(YEAR(X$1),MONTH(X$1)+InfoM!$H11,InfoM!$I11)</f>
        <v>34639</v>
      </c>
      <c r="Y14" s="30">
        <f ca="1">DATE(YEAR(Y$1),MONTH(Y$1)+InfoM!$H11,InfoM!$I11)</f>
        <v>34669</v>
      </c>
      <c r="Z14" s="30">
        <f ca="1">DATE(YEAR(Z$1),MONTH(Z$1)+InfoM!$H11,InfoM!$I11)</f>
        <v>34700</v>
      </c>
      <c r="AA14" s="30">
        <f ca="1">DATE(YEAR(AA$1),MONTH(AA$1)+InfoM!$H11,InfoM!$I11)</f>
        <v>34731</v>
      </c>
      <c r="AB14" s="30">
        <f ca="1">DATE(YEAR(AB$1),MONTH(AB$1)+InfoM!$H11,InfoM!$I11)</f>
        <v>34759</v>
      </c>
      <c r="AC14" s="30">
        <f ca="1">DATE(YEAR(AC$1),MONTH(AC$1)+InfoM!$H11,InfoM!$I11)</f>
        <v>34790</v>
      </c>
      <c r="AD14" s="30">
        <f ca="1">DATE(YEAR(AD$1),MONTH(AD$1)+InfoM!$H11,InfoM!$I11)</f>
        <v>34820</v>
      </c>
      <c r="AE14" s="30">
        <f ca="1">DATE(YEAR(AE$1),MONTH(AE$1)+InfoM!$H11,InfoM!$I11)</f>
        <v>34851</v>
      </c>
      <c r="AF14" s="30">
        <f ca="1">DATE(YEAR(AF$1),MONTH(AF$1)+InfoM!$H11,InfoM!$I11)</f>
        <v>34881</v>
      </c>
      <c r="AG14" s="30">
        <f ca="1">DATE(YEAR(AG$1),MONTH(AG$1)+InfoM!$H11,InfoM!$I11)</f>
        <v>34912</v>
      </c>
      <c r="AH14" s="30">
        <f ca="1">DATE(YEAR(AH$1),MONTH(AH$1)+InfoM!$H11,InfoM!$I11)</f>
        <v>34943</v>
      </c>
      <c r="AI14" s="30">
        <f ca="1">DATE(YEAR(AI$1),MONTH(AI$1)+InfoM!$H11,InfoM!$I11)</f>
        <v>34973</v>
      </c>
      <c r="AJ14" s="30">
        <f ca="1">DATE(YEAR(AJ$1),MONTH(AJ$1)+InfoM!$H11,InfoM!$I11)</f>
        <v>35004</v>
      </c>
      <c r="AK14" s="30">
        <f ca="1">DATE(YEAR(AK$1),MONTH(AK$1)+InfoM!$H11,InfoM!$I11)</f>
        <v>35034</v>
      </c>
      <c r="AL14" s="30">
        <f ca="1">DATE(YEAR(AL$1),MONTH(AL$1)+InfoM!$H11,InfoM!$I11)</f>
        <v>35065</v>
      </c>
      <c r="AM14" s="30">
        <f ca="1">DATE(YEAR(AM$1),MONTH(AM$1)+InfoM!$H11,InfoM!$I11)</f>
        <v>35096</v>
      </c>
      <c r="AN14" s="30">
        <f ca="1">DATE(YEAR(AN$1),MONTH(AN$1)+InfoM!$H11,InfoM!$I11)</f>
        <v>35125</v>
      </c>
      <c r="AO14" s="30">
        <f ca="1">DATE(YEAR(AO$1),MONTH(AO$1)+InfoM!$H11,InfoM!$I11)</f>
        <v>35156</v>
      </c>
      <c r="AP14" s="30">
        <f ca="1">DATE(YEAR(AP$1),MONTH(AP$1)+InfoM!$H11,InfoM!$I11)</f>
        <v>35186</v>
      </c>
      <c r="AQ14" s="30">
        <f ca="1">DATE(YEAR(AQ$1),MONTH(AQ$1)+InfoM!$H11,InfoM!$I11)</f>
        <v>35217</v>
      </c>
      <c r="AR14" s="30">
        <f ca="1">DATE(YEAR(AR$1),MONTH(AR$1)+InfoM!$H11,InfoM!$I11)</f>
        <v>35247</v>
      </c>
      <c r="AS14" s="30">
        <f ca="1">DATE(YEAR(AS$1),MONTH(AS$1)+InfoM!$H11,InfoM!$I11)</f>
        <v>35278</v>
      </c>
      <c r="AT14" s="30">
        <f ca="1">DATE(YEAR(AT$1),MONTH(AT$1)+InfoM!$H11,InfoM!$I11)</f>
        <v>35309</v>
      </c>
      <c r="AU14" s="30">
        <f ca="1">DATE(YEAR(AU$1),MONTH(AU$1)+InfoM!$H11,InfoM!$I11)</f>
        <v>35339</v>
      </c>
      <c r="AV14" s="30">
        <f ca="1">DATE(YEAR(AV$1),MONTH(AV$1)+InfoM!$H11,InfoM!$I11)</f>
        <v>35370</v>
      </c>
      <c r="AW14" s="30">
        <f ca="1">DATE(YEAR(AW$1),MONTH(AW$1)+InfoM!$H11,InfoM!$I11)</f>
        <v>35400</v>
      </c>
      <c r="AX14" s="30">
        <f ca="1">DATE(YEAR(AX$1),MONTH(AX$1)+InfoM!$H11,InfoM!$I11)</f>
        <v>35431</v>
      </c>
      <c r="AY14" s="30">
        <f ca="1">DATE(YEAR(AY$1),MONTH(AY$1)+InfoM!$H11,InfoM!$I11)</f>
        <v>35462</v>
      </c>
      <c r="AZ14" s="30">
        <f ca="1">DATE(YEAR(AZ$1),MONTH(AZ$1)+InfoM!$H11,InfoM!$I11)</f>
        <v>35490</v>
      </c>
      <c r="BA14" s="30">
        <f ca="1">DATE(YEAR(BA$1),MONTH(BA$1)+InfoM!$H11,InfoM!$I11)</f>
        <v>35521</v>
      </c>
      <c r="BB14" s="30">
        <f ca="1">DATE(YEAR(BB$1),MONTH(BB$1)+InfoM!$H11,InfoM!$I11)</f>
        <v>35551</v>
      </c>
      <c r="BC14" s="30">
        <f ca="1">DATE(YEAR(BC$1),MONTH(BC$1)+InfoM!$H11,InfoM!$I11)</f>
        <v>35582</v>
      </c>
      <c r="BD14" s="30">
        <f ca="1">DATE(YEAR(BD$1),MONTH(BD$1)+InfoM!$H11,InfoM!$I11)</f>
        <v>35612</v>
      </c>
      <c r="BE14" s="30">
        <f ca="1">DATE(YEAR(BE$1),MONTH(BE$1)+InfoM!$H11,InfoM!$I11)</f>
        <v>35643</v>
      </c>
      <c r="BF14" s="30">
        <f ca="1">DATE(YEAR(BF$1),MONTH(BF$1)+InfoM!$H11,InfoM!$I11)</f>
        <v>35674</v>
      </c>
      <c r="BG14" s="30">
        <f ca="1">DATE(YEAR(BG$1),MONTH(BG$1)+InfoM!$H11,InfoM!$I11)</f>
        <v>35704</v>
      </c>
      <c r="BH14" s="30">
        <f ca="1">DATE(YEAR(BH$1),MONTH(BH$1)+InfoM!$H11,InfoM!$I11)</f>
        <v>35735</v>
      </c>
      <c r="BI14" s="30">
        <f ca="1">DATE(YEAR(BI$1),MONTH(BI$1)+InfoM!$H11,InfoM!$I11)</f>
        <v>35765</v>
      </c>
      <c r="BJ14" s="30">
        <f ca="1">DATE(YEAR(BJ$1),MONTH(BJ$1)+InfoM!$H11,InfoM!$I11)</f>
        <v>35796</v>
      </c>
      <c r="BK14" s="30">
        <f ca="1">DATE(YEAR(BK$1),MONTH(BK$1)+InfoM!$H11,InfoM!$I11)</f>
        <v>35827</v>
      </c>
      <c r="BL14" s="30">
        <f ca="1">DATE(YEAR(BL$1),MONTH(BL$1)+InfoM!$H11,InfoM!$I11)</f>
        <v>35855</v>
      </c>
      <c r="BM14" s="30">
        <f ca="1">DATE(YEAR(BM$1),MONTH(BM$1)+InfoM!$H11,InfoM!$I11)</f>
        <v>35886</v>
      </c>
      <c r="BN14" s="30">
        <f ca="1">DATE(YEAR(BN$1),MONTH(BN$1)+InfoM!$H11,InfoM!$I11)</f>
        <v>35916</v>
      </c>
      <c r="BO14" s="30">
        <f ca="1">DATE(YEAR(BO$1),MONTH(BO$1)+InfoM!$H11,InfoM!$I11)</f>
        <v>35947</v>
      </c>
      <c r="BP14" s="30">
        <f ca="1">DATE(YEAR(BP$1),MONTH(BP$1)+InfoM!$H11,InfoM!$I11)</f>
        <v>35977</v>
      </c>
      <c r="BQ14" s="30">
        <f ca="1">DATE(YEAR(BQ$1),MONTH(BQ$1)+InfoM!$H11,InfoM!$I11)</f>
        <v>36008</v>
      </c>
      <c r="BR14" s="30">
        <f ca="1">DATE(YEAR(BR$1),MONTH(BR$1)+InfoM!$H11,InfoM!$I11)</f>
        <v>36039</v>
      </c>
      <c r="BS14" s="30">
        <f ca="1">DATE(YEAR(BS$1),MONTH(BS$1)+InfoM!$H11,InfoM!$I11)</f>
        <v>36069</v>
      </c>
      <c r="BT14" s="30">
        <f ca="1">DATE(YEAR(BT$1),MONTH(BT$1)+InfoM!$H11,InfoM!$I11)</f>
        <v>36100</v>
      </c>
      <c r="BU14" s="30">
        <f ca="1">DATE(YEAR(BU$1),MONTH(BU$1)+InfoM!$H11,InfoM!$I11)</f>
        <v>36130</v>
      </c>
      <c r="BV14" s="30">
        <f ca="1">DATE(YEAR(BV$1),MONTH(BV$1)+InfoM!$H11,InfoM!$I11)</f>
        <v>36161</v>
      </c>
      <c r="BW14" s="30">
        <f ca="1">DATE(YEAR(BW$1),MONTH(BW$1)+InfoM!$H11,InfoM!$I11)</f>
        <v>36192</v>
      </c>
      <c r="BX14" s="30">
        <f ca="1">DATE(YEAR(BX$1),MONTH(BX$1)+InfoM!$H11,InfoM!$I11)</f>
        <v>36220</v>
      </c>
      <c r="BY14" s="30">
        <f ca="1">DATE(YEAR(BY$1),MONTH(BY$1)+InfoM!$H11,InfoM!$I11)</f>
        <v>36251</v>
      </c>
      <c r="BZ14" s="30">
        <f ca="1">DATE(YEAR(BZ$1),MONTH(BZ$1)+InfoM!$H11,InfoM!$I11)</f>
        <v>36281</v>
      </c>
      <c r="CA14" s="30">
        <f ca="1">DATE(YEAR(CA$1),MONTH(CA$1)+InfoM!$H11,InfoM!$I11)</f>
        <v>36312</v>
      </c>
      <c r="CB14" s="30">
        <f ca="1">DATE(YEAR(CB$1),MONTH(CB$1)+InfoM!$H11,InfoM!$I11)</f>
        <v>36342</v>
      </c>
      <c r="CC14" s="30">
        <f ca="1">DATE(YEAR(CC$1),MONTH(CC$1)+InfoM!$H11,InfoM!$I11)</f>
        <v>36373</v>
      </c>
      <c r="CD14" s="30">
        <f ca="1">DATE(YEAR(CD$1),MONTH(CD$1)+InfoM!$H11,InfoM!$I11)</f>
        <v>36404</v>
      </c>
      <c r="CE14" s="30">
        <f ca="1">DATE(YEAR(CE$1),MONTH(CE$1)+InfoM!$H11,InfoM!$I11)</f>
        <v>36434</v>
      </c>
      <c r="CF14" s="30">
        <f ca="1">DATE(YEAR(CF$1),MONTH(CF$1)+InfoM!$H11,InfoM!$I11)</f>
        <v>36465</v>
      </c>
      <c r="CG14" s="30">
        <f ca="1">DATE(YEAR(CG$1),MONTH(CG$1)+InfoM!$H11,InfoM!$I11)</f>
        <v>36495</v>
      </c>
      <c r="CH14" s="30">
        <f ca="1">DATE(YEAR(CH$1),MONTH(CH$1)+InfoM!$H11,InfoM!$I11)</f>
        <v>36526</v>
      </c>
      <c r="CI14" s="30">
        <f ca="1">DATE(YEAR(CI$1),MONTH(CI$1)+InfoM!$H11,InfoM!$I11)</f>
        <v>36557</v>
      </c>
      <c r="CJ14" s="30">
        <f ca="1">DATE(YEAR(CJ$1),MONTH(CJ$1)+InfoM!$H11,InfoM!$I11)</f>
        <v>36586</v>
      </c>
      <c r="CK14" s="30">
        <f ca="1">DATE(YEAR(CK$1),MONTH(CK$1)+InfoM!$H11,InfoM!$I11)</f>
        <v>36617</v>
      </c>
      <c r="CL14" s="30">
        <f ca="1">DATE(YEAR(CL$1),MONTH(CL$1)+InfoM!$H11,InfoM!$I11)</f>
        <v>36647</v>
      </c>
      <c r="CM14" s="30">
        <f ca="1">DATE(YEAR(CM$1),MONTH(CM$1)+InfoM!$H11,InfoM!$I11)</f>
        <v>36678</v>
      </c>
      <c r="CN14" s="30">
        <f ca="1">DATE(YEAR(CN$1),MONTH(CN$1)+InfoM!$H11,InfoM!$I11)</f>
        <v>36708</v>
      </c>
      <c r="CO14" s="30">
        <f ca="1">DATE(YEAR(CO$1),MONTH(CO$1)+InfoM!$H11,InfoM!$I11)</f>
        <v>36739</v>
      </c>
      <c r="CP14" s="30">
        <f ca="1">DATE(YEAR(CP$1),MONTH(CP$1)+InfoM!$H11,InfoM!$I11)</f>
        <v>36770</v>
      </c>
      <c r="CQ14" s="30">
        <f ca="1">DATE(YEAR(CQ$1),MONTH(CQ$1)+InfoM!$H11,InfoM!$I11)</f>
        <v>36800</v>
      </c>
      <c r="CR14" s="30">
        <f ca="1">DATE(YEAR(CR$1),MONTH(CR$1)+InfoM!$H11,InfoM!$I11)</f>
        <v>36831</v>
      </c>
      <c r="CS14" s="30">
        <f ca="1">DATE(YEAR(CS$1),MONTH(CS$1)+InfoM!$H11,InfoM!$I11)</f>
        <v>36861</v>
      </c>
      <c r="CT14" s="30">
        <f ca="1">DATE(YEAR(CT$1),MONTH(CT$1)+InfoM!$H11,InfoM!$I11)</f>
        <v>36892</v>
      </c>
      <c r="CU14" s="30">
        <f ca="1">DATE(YEAR(CU$1),MONTH(CU$1)+InfoM!$H11,InfoM!$I11)</f>
        <v>36923</v>
      </c>
      <c r="CV14" s="30">
        <f ca="1">DATE(YEAR(CV$1),MONTH(CV$1)+InfoM!$H11,InfoM!$I11)</f>
        <v>36951</v>
      </c>
      <c r="CW14" s="30">
        <f ca="1">DATE(YEAR(CW$1),MONTH(CW$1)+InfoM!$H11,InfoM!$I11)</f>
        <v>36982</v>
      </c>
      <c r="CX14" s="30">
        <f ca="1">DATE(YEAR(CX$1),MONTH(CX$1)+InfoM!$H11,InfoM!$I11)</f>
        <v>37012</v>
      </c>
      <c r="CY14" s="30">
        <f ca="1">DATE(YEAR(CY$1),MONTH(CY$1)+InfoM!$H11,InfoM!$I11)</f>
        <v>37043</v>
      </c>
      <c r="CZ14" s="30">
        <f ca="1">DATE(YEAR(CZ$1),MONTH(CZ$1)+InfoM!$H11,InfoM!$I11)</f>
        <v>37073</v>
      </c>
      <c r="DA14" s="30">
        <f ca="1">DATE(YEAR(DA$1),MONTH(DA$1)+InfoM!$H11,InfoM!$I11)</f>
        <v>37104</v>
      </c>
      <c r="DB14" s="30">
        <f ca="1">DATE(YEAR(DB$1),MONTH(DB$1)+InfoM!$H11,InfoM!$I11)</f>
        <v>37135</v>
      </c>
      <c r="DC14" s="30">
        <f ca="1">DATE(YEAR(DC$1),MONTH(DC$1)+InfoM!$H11,InfoM!$I11)</f>
        <v>37165</v>
      </c>
      <c r="DD14" s="30">
        <f ca="1">DATE(YEAR(DD$1),MONTH(DD$1)+InfoM!$H11,InfoM!$I11)</f>
        <v>37196</v>
      </c>
      <c r="DE14" s="30">
        <f ca="1">DATE(YEAR(DE$1),MONTH(DE$1)+InfoM!$H11,InfoM!$I11)</f>
        <v>37226</v>
      </c>
      <c r="DF14" s="30">
        <f ca="1">DATE(YEAR(DF$1),MONTH(DF$1)+InfoM!$H11,InfoM!$I11)</f>
        <v>37257</v>
      </c>
      <c r="DG14" s="30">
        <f ca="1">DATE(YEAR(DG$1),MONTH(DG$1)+InfoM!$H11,InfoM!$I11)</f>
        <v>37288</v>
      </c>
      <c r="DH14" s="30">
        <f ca="1">DATE(YEAR(DH$1),MONTH(DH$1)+InfoM!$H11,InfoM!$I11)</f>
        <v>37316</v>
      </c>
      <c r="DI14" s="30">
        <f ca="1">DATE(YEAR(DI$1),MONTH(DI$1)+InfoM!$H11,InfoM!$I11)</f>
        <v>37347</v>
      </c>
      <c r="DJ14" s="30">
        <f ca="1">DATE(YEAR(DJ$1),MONTH(DJ$1)+InfoM!$H11,InfoM!$I11)</f>
        <v>37377</v>
      </c>
      <c r="DK14" s="30">
        <f ca="1">DATE(YEAR(DK$1),MONTH(DK$1)+InfoM!$H11,InfoM!$I11)</f>
        <v>37408</v>
      </c>
      <c r="DL14" s="30">
        <f ca="1">DATE(YEAR(DL$1),MONTH(DL$1)+InfoM!$H11,InfoM!$I11)</f>
        <v>37438</v>
      </c>
      <c r="DM14" s="30">
        <f ca="1">DATE(YEAR(DM$1),MONTH(DM$1)+InfoM!$H11,InfoM!$I11)</f>
        <v>37469</v>
      </c>
      <c r="DN14" s="30">
        <f ca="1">DATE(YEAR(DN$1),MONTH(DN$1)+InfoM!$H11,InfoM!$I11)</f>
        <v>37500</v>
      </c>
      <c r="DO14" s="30">
        <f ca="1">DATE(YEAR(DO$1),MONTH(DO$1)+InfoM!$H11,InfoM!$I11)</f>
        <v>37530</v>
      </c>
      <c r="DP14" s="30">
        <f ca="1">DATE(YEAR(DP$1),MONTH(DP$1)+InfoM!$H11,InfoM!$I11)</f>
        <v>37561</v>
      </c>
      <c r="DQ14" s="30">
        <f ca="1">DATE(YEAR(DQ$1),MONTH(DQ$1)+InfoM!$H11,InfoM!$I11)</f>
        <v>37591</v>
      </c>
      <c r="DR14" s="30">
        <f ca="1">DATE(YEAR(DR$1),MONTH(DR$1)+InfoM!$H11,InfoM!$I11)</f>
        <v>37622</v>
      </c>
      <c r="DS14" s="30">
        <f ca="1">DATE(YEAR(DS$1),MONTH(DS$1)+InfoM!$H11,InfoM!$I11)</f>
        <v>37653</v>
      </c>
      <c r="DT14" s="30">
        <f ca="1">DATE(YEAR(DT$1),MONTH(DT$1)+InfoM!$H11,InfoM!$I11)</f>
        <v>37681</v>
      </c>
      <c r="DU14" s="30">
        <f ca="1">DATE(YEAR(DU$1),MONTH(DU$1)+InfoM!$H11,InfoM!$I11)</f>
        <v>37712</v>
      </c>
      <c r="DV14" s="30">
        <f ca="1">DATE(YEAR(DV$1),MONTH(DV$1)+InfoM!$H11,InfoM!$I11)</f>
        <v>37742</v>
      </c>
      <c r="DW14" s="30">
        <f ca="1">DATE(YEAR(DW$1),MONTH(DW$1)+InfoM!$H11,InfoM!$I11)</f>
        <v>37773</v>
      </c>
      <c r="DX14" s="30">
        <f ca="1">DATE(YEAR(DX$1),MONTH(DX$1)+InfoM!$H11,InfoM!$I11)</f>
        <v>37803</v>
      </c>
      <c r="DY14" s="30">
        <f ca="1">DATE(YEAR(DY$1),MONTH(DY$1)+InfoM!$H11,InfoM!$I11)</f>
        <v>37834</v>
      </c>
      <c r="DZ14" s="30">
        <f ca="1">DATE(YEAR(DZ$1),MONTH(DZ$1)+InfoM!$H11,InfoM!$I11)</f>
        <v>37865</v>
      </c>
      <c r="EA14" s="30">
        <f ca="1">DATE(YEAR(EA$1),MONTH(EA$1)+InfoM!$H11,InfoM!$I11)</f>
        <v>37895</v>
      </c>
      <c r="EB14" s="30">
        <f ca="1">DATE(YEAR(EB$1),MONTH(EB$1)+InfoM!$H11,InfoM!$I11)</f>
        <v>37926</v>
      </c>
      <c r="EC14" s="30">
        <f ca="1">DATE(YEAR(EC$1),MONTH(EC$1)+InfoM!$H11,InfoM!$I11)</f>
        <v>37956</v>
      </c>
      <c r="ED14" s="30">
        <f ca="1">DATE(YEAR(ED$1),MONTH(ED$1)+InfoM!$H11,InfoM!$I11)</f>
        <v>37987</v>
      </c>
      <c r="EE14" s="30">
        <f ca="1">DATE(YEAR(EE$1),MONTH(EE$1)+InfoM!$H11,InfoM!$I11)</f>
        <v>38018</v>
      </c>
      <c r="EF14" s="30">
        <f ca="1">DATE(YEAR(EF$1),MONTH(EF$1)+InfoM!$H11,InfoM!$I11)</f>
        <v>38047</v>
      </c>
      <c r="EG14" s="30">
        <f ca="1">DATE(YEAR(EG$1),MONTH(EG$1)+InfoM!$H11,InfoM!$I11)</f>
        <v>38078</v>
      </c>
      <c r="EH14" s="30">
        <f ca="1">DATE(YEAR(EH$1),MONTH(EH$1)+InfoM!$H11,InfoM!$I11)</f>
        <v>38108</v>
      </c>
      <c r="EI14" s="30">
        <f ca="1">DATE(YEAR(EI$1),MONTH(EI$1)+InfoM!$H11,InfoM!$I11)</f>
        <v>38139</v>
      </c>
      <c r="EJ14" s="30">
        <f ca="1">DATE(YEAR(EJ$1),MONTH(EJ$1)+InfoM!$H11,InfoM!$I11)</f>
        <v>38169</v>
      </c>
      <c r="EK14" s="30">
        <f ca="1">DATE(YEAR(EK$1),MONTH(EK$1)+InfoM!$H11,InfoM!$I11)</f>
        <v>38200</v>
      </c>
      <c r="EL14" s="30">
        <f ca="1">DATE(YEAR(EL$1),MONTH(EL$1)+InfoM!$H11,InfoM!$I11)</f>
        <v>38231</v>
      </c>
      <c r="EM14" s="30">
        <f ca="1">DATE(YEAR(EM$1),MONTH(EM$1)+InfoM!$H11,InfoM!$I11)</f>
        <v>38261</v>
      </c>
      <c r="EN14" s="30">
        <f ca="1">DATE(YEAR(EN$1),MONTH(EN$1)+InfoM!$H11,InfoM!$I11)</f>
        <v>38292</v>
      </c>
      <c r="EO14" s="30">
        <f ca="1">DATE(YEAR(EO$1),MONTH(EO$1)+InfoM!$H11,InfoM!$I11)</f>
        <v>38322</v>
      </c>
      <c r="EP14" s="30">
        <f ca="1">DATE(YEAR(EP$1),MONTH(EP$1)+InfoM!$H11,InfoM!$I11)</f>
        <v>38353</v>
      </c>
      <c r="EQ14" s="30">
        <f ca="1">DATE(YEAR(EQ$1),MONTH(EQ$1)+InfoM!$H11,InfoM!$I11)</f>
        <v>38384</v>
      </c>
      <c r="ER14" s="30">
        <f ca="1">DATE(YEAR(ER$1),MONTH(ER$1)+InfoM!$H11,InfoM!$I11)</f>
        <v>38412</v>
      </c>
      <c r="ES14" s="30">
        <f ca="1">DATE(YEAR(ES$1),MONTH(ES$1)+InfoM!$H11,InfoM!$I11)</f>
        <v>38443</v>
      </c>
      <c r="ET14" s="30">
        <f ca="1">DATE(YEAR(ET$1),MONTH(ET$1)+InfoM!$H11,InfoM!$I11)</f>
        <v>38473</v>
      </c>
      <c r="EU14" s="30">
        <f ca="1">DATE(YEAR(EU$1),MONTH(EU$1)+InfoM!$H11,InfoM!$I11)</f>
        <v>38504</v>
      </c>
      <c r="EV14" s="30">
        <f ca="1">DATE(YEAR(EV$1),MONTH(EV$1)+InfoM!$H11,InfoM!$I11)</f>
        <v>38534</v>
      </c>
      <c r="EW14" s="30">
        <f ca="1">DATE(YEAR(EW$1),MONTH(EW$1)+InfoM!$H11,InfoM!$I11)</f>
        <v>38565</v>
      </c>
      <c r="EX14" s="30">
        <f ca="1">DATE(YEAR(EX$1),MONTH(EX$1)+InfoM!$H11,InfoM!$I11)</f>
        <v>38596</v>
      </c>
      <c r="EY14" s="30">
        <f ca="1">DATE(YEAR(EY$1),MONTH(EY$1)+InfoM!$H11,InfoM!$I11)</f>
        <v>38626</v>
      </c>
      <c r="EZ14" s="30">
        <f ca="1">DATE(YEAR(EZ$1),MONTH(EZ$1)+InfoM!$H11,InfoM!$I11)</f>
        <v>38657</v>
      </c>
      <c r="FA14" s="30">
        <f ca="1">DATE(YEAR(FA$1),MONTH(FA$1)+InfoM!$H11,InfoM!$I11)</f>
        <v>38687</v>
      </c>
      <c r="FB14" s="30">
        <f ca="1">DATE(YEAR(FB$1),MONTH(FB$1)+InfoM!$H11,InfoM!$I11)</f>
        <v>38718</v>
      </c>
      <c r="FC14" s="30">
        <f ca="1">DATE(YEAR(FC$1),MONTH(FC$1)+InfoM!$H11,InfoM!$I11)</f>
        <v>38749</v>
      </c>
      <c r="FD14" s="30">
        <f ca="1">DATE(YEAR(FD$1),MONTH(FD$1)+InfoM!$H11,InfoM!$I11)</f>
        <v>38777</v>
      </c>
      <c r="FE14" s="30">
        <f ca="1">DATE(YEAR(FE$1),MONTH(FE$1)+InfoM!$H11,InfoM!$I11)</f>
        <v>38808</v>
      </c>
      <c r="FF14" s="30">
        <f ca="1">DATE(YEAR(FF$1),MONTH(FF$1)+InfoM!$H11,InfoM!$I11)</f>
        <v>38838</v>
      </c>
      <c r="FG14" s="30">
        <f ca="1">DATE(YEAR(FG$1),MONTH(FG$1)+InfoM!$H11,InfoM!$I11)</f>
        <v>38869</v>
      </c>
      <c r="FH14" s="30">
        <f ca="1">DATE(YEAR(FH$1),MONTH(FH$1)+InfoM!$H11,InfoM!$I11)</f>
        <v>38899</v>
      </c>
      <c r="FI14" s="30">
        <f ca="1">DATE(YEAR(FI$1),MONTH(FI$1)+InfoM!$H11,InfoM!$I11)</f>
        <v>38930</v>
      </c>
      <c r="FJ14" s="30">
        <f ca="1">DATE(YEAR(FJ$1),MONTH(FJ$1)+InfoM!$H11,InfoM!$I11)</f>
        <v>38961</v>
      </c>
      <c r="FK14" s="30">
        <f ca="1">DATE(YEAR(FK$1),MONTH(FK$1)+InfoM!$H11,InfoM!$I11)</f>
        <v>38991</v>
      </c>
      <c r="FL14" s="30">
        <f ca="1">DATE(YEAR(FL$1),MONTH(FL$1)+InfoM!$H11,InfoM!$I11)</f>
        <v>39022</v>
      </c>
      <c r="FM14" s="30">
        <f ca="1">DATE(YEAR(FM$1),MONTH(FM$1)+InfoM!$H11,InfoM!$I11)</f>
        <v>39052</v>
      </c>
      <c r="FN14" s="30">
        <f ca="1">DATE(YEAR(FN$1),MONTH(FN$1)+InfoM!$H11,InfoM!$I11)</f>
        <v>39083</v>
      </c>
      <c r="FO14" s="30">
        <f ca="1">DATE(YEAR(FO$1),MONTH(FO$1)+InfoM!$H11,InfoM!$I11)</f>
        <v>39114</v>
      </c>
      <c r="FP14" s="30">
        <f ca="1">DATE(YEAR(FP$1),MONTH(FP$1)+InfoM!$H11,InfoM!$I11)</f>
        <v>39142</v>
      </c>
      <c r="FQ14" s="30">
        <f ca="1">DATE(YEAR(FQ$1),MONTH(FQ$1)+InfoM!$H11,InfoM!$I11)</f>
        <v>39173</v>
      </c>
      <c r="FR14" s="30">
        <f ca="1">DATE(YEAR(FR$1),MONTH(FR$1)+InfoM!$H11,InfoM!$I11)</f>
        <v>39203</v>
      </c>
      <c r="FS14" s="30">
        <f ca="1">DATE(YEAR(FS$1),MONTH(FS$1)+InfoM!$H11,InfoM!$I11)</f>
        <v>39234</v>
      </c>
      <c r="FT14" s="30">
        <f ca="1">DATE(YEAR(FT$1),MONTH(FT$1)+InfoM!$H11,InfoM!$I11)</f>
        <v>39264</v>
      </c>
      <c r="FU14" s="30">
        <f ca="1">DATE(YEAR(FU$1),MONTH(FU$1)+InfoM!$H11,InfoM!$I11)</f>
        <v>39295</v>
      </c>
      <c r="FV14" s="30">
        <f ca="1">DATE(YEAR(FV$1),MONTH(FV$1)+InfoM!$H11,InfoM!$I11)</f>
        <v>39326</v>
      </c>
      <c r="FW14" s="30">
        <f ca="1">DATE(YEAR(FW$1),MONTH(FW$1)+InfoM!$H11,InfoM!$I11)</f>
        <v>39356</v>
      </c>
      <c r="FX14" s="30">
        <f ca="1">DATE(YEAR(FX$1),MONTH(FX$1)+InfoM!$H11,InfoM!$I11)</f>
        <v>39387</v>
      </c>
      <c r="FY14" s="30">
        <f ca="1">DATE(YEAR(FY$1),MONTH(FY$1)+InfoM!$H11,InfoM!$I11)</f>
        <v>39417</v>
      </c>
      <c r="FZ14" s="30">
        <f ca="1">DATE(YEAR(FZ$1),MONTH(FZ$1)+InfoM!$H11,InfoM!$I11)</f>
        <v>39448</v>
      </c>
      <c r="GA14" s="30">
        <f ca="1">DATE(YEAR(GA$1),MONTH(GA$1)+InfoM!$H11,InfoM!$I11)</f>
        <v>39479</v>
      </c>
      <c r="GB14" s="30">
        <f ca="1">DATE(YEAR(GB$1),MONTH(GB$1)+InfoM!$H11,InfoM!$I11)</f>
        <v>39508</v>
      </c>
      <c r="GC14" s="30">
        <f ca="1">DATE(YEAR(GC$1),MONTH(GC$1)+InfoM!$H11,InfoM!$I11)</f>
        <v>39539</v>
      </c>
      <c r="GD14" s="30">
        <f ca="1">DATE(YEAR(GD$1),MONTH(GD$1)+InfoM!$H11,InfoM!$I11)</f>
        <v>39569</v>
      </c>
      <c r="GE14" s="30">
        <f ca="1">DATE(YEAR(GE$1),MONTH(GE$1)+InfoM!$H11,InfoM!$I11)</f>
        <v>39600</v>
      </c>
      <c r="GF14" s="30">
        <f ca="1">DATE(YEAR(GF$1),MONTH(GF$1)+InfoM!$H11,InfoM!$I11)</f>
        <v>39630</v>
      </c>
      <c r="GG14" s="30">
        <f ca="1">DATE(YEAR(GG$1),MONTH(GG$1)+InfoM!$H11,InfoM!$I11)</f>
        <v>39661</v>
      </c>
      <c r="GH14" s="30">
        <f ca="1">DATE(YEAR(GH$1),MONTH(GH$1)+InfoM!$H11,InfoM!$I11)</f>
        <v>39692</v>
      </c>
      <c r="GI14" s="30">
        <f ca="1">DATE(YEAR(GI$1),MONTH(GI$1)+InfoM!$H11,InfoM!$I11)</f>
        <v>39722</v>
      </c>
      <c r="GJ14" s="30">
        <f ca="1">DATE(YEAR(GJ$1),MONTH(GJ$1)+InfoM!$H11,InfoM!$I11)</f>
        <v>39753</v>
      </c>
      <c r="GK14" s="30">
        <f ca="1">DATE(YEAR(GK$1),MONTH(GK$1)+InfoM!$H11,InfoM!$I11)</f>
        <v>39783</v>
      </c>
      <c r="GL14" s="30">
        <f ca="1">DATE(YEAR(GL$1),MONTH(GL$1)+InfoM!$H11,InfoM!$I11)</f>
        <v>39814</v>
      </c>
      <c r="GM14" s="30">
        <f ca="1">DATE(YEAR(GM$1),MONTH(GM$1)+InfoM!$H11,InfoM!$I11)</f>
        <v>39845</v>
      </c>
      <c r="GN14" s="30">
        <f ca="1">DATE(YEAR(GN$1),MONTH(GN$1)+InfoM!$H11,InfoM!$I11)</f>
        <v>39873</v>
      </c>
      <c r="GO14" s="30">
        <f ca="1">DATE(YEAR(GO$1),MONTH(GO$1)+InfoM!$H11,InfoM!$I11)</f>
        <v>39904</v>
      </c>
      <c r="GP14" s="30">
        <f ca="1">DATE(YEAR(GP$1),MONTH(GP$1)+InfoM!$H11,InfoM!$I11)</f>
        <v>39934</v>
      </c>
      <c r="GQ14" s="30">
        <f ca="1">DATE(YEAR(GQ$1),MONTH(GQ$1)+InfoM!$H11,InfoM!$I11)</f>
        <v>39965</v>
      </c>
      <c r="GR14" s="30">
        <f ca="1">DATE(YEAR(GR$1),MONTH(GR$1)+InfoM!$H11,InfoM!$I11)</f>
        <v>39995</v>
      </c>
      <c r="GS14" s="30">
        <f ca="1">DATE(YEAR(GS$1),MONTH(GS$1)+InfoM!$H11,InfoM!$I11)</f>
        <v>40026</v>
      </c>
      <c r="GT14" s="30">
        <f ca="1">DATE(YEAR(GT$1),MONTH(GT$1)+InfoM!$H11,InfoM!$I11)</f>
        <v>40057</v>
      </c>
      <c r="GU14" s="30">
        <f ca="1">DATE(YEAR(GU$1),MONTH(GU$1)+InfoM!$H11,InfoM!$I11)</f>
        <v>40087</v>
      </c>
      <c r="GV14" s="30">
        <f ca="1">DATE(YEAR(GV$1),MONTH(GV$1)+InfoM!$H11,InfoM!$I11)</f>
        <v>40118</v>
      </c>
      <c r="GW14" s="30">
        <f ca="1">DATE(YEAR(GW$1),MONTH(GW$1)+InfoM!$H11,InfoM!$I11)</f>
        <v>40148</v>
      </c>
      <c r="GX14" s="30">
        <f ca="1">DATE(YEAR(GX$1),MONTH(GX$1)+InfoM!$H11,InfoM!$I11)</f>
        <v>40179</v>
      </c>
      <c r="GY14" s="30">
        <f ca="1">DATE(YEAR(GY$1),MONTH(GY$1)+InfoM!$H11,InfoM!$I11)</f>
        <v>40210</v>
      </c>
      <c r="GZ14" s="30">
        <f ca="1">DATE(YEAR(GZ$1),MONTH(GZ$1)+InfoM!$H11,InfoM!$I11)</f>
        <v>40238</v>
      </c>
      <c r="HA14" s="30">
        <f ca="1">DATE(YEAR(HA$1),MONTH(HA$1)+InfoM!$H11,InfoM!$I11)</f>
        <v>40269</v>
      </c>
      <c r="HB14" s="30">
        <f ca="1">DATE(YEAR(HB$1),MONTH(HB$1)+InfoM!$H11,InfoM!$I11)</f>
        <v>40299</v>
      </c>
      <c r="HC14" s="30">
        <f ca="1">DATE(YEAR(HC$1),MONTH(HC$1)+InfoM!$H11,InfoM!$I11)</f>
        <v>40330</v>
      </c>
      <c r="HD14" s="30">
        <f ca="1">DATE(YEAR(HD$1),MONTH(HD$1)+InfoM!$H11,InfoM!$I11)</f>
        <v>40360</v>
      </c>
      <c r="HE14" s="30">
        <f ca="1">DATE(YEAR(HE$1),MONTH(HE$1)+InfoM!$H11,InfoM!$I11)</f>
        <v>40391</v>
      </c>
      <c r="HF14" s="30">
        <f ca="1">DATE(YEAR(HF$1),MONTH(HF$1)+InfoM!$H11,InfoM!$I11)</f>
        <v>40422</v>
      </c>
      <c r="HG14" s="30">
        <f ca="1">DATE(YEAR(HG$1),MONTH(HG$1)+InfoM!$H11,InfoM!$I11)</f>
        <v>40452</v>
      </c>
      <c r="HH14" s="30">
        <f ca="1">DATE(YEAR(HH$1),MONTH(HH$1)+InfoM!$H11,InfoM!$I11)</f>
        <v>40483</v>
      </c>
      <c r="HI14" s="30">
        <f ca="1">DATE(YEAR(HI$1),MONTH(HI$1)+InfoM!$H11,InfoM!$I11)</f>
        <v>40513</v>
      </c>
      <c r="HJ14" s="30">
        <f ca="1">DATE(YEAR(HJ$1),MONTH(HJ$1)+InfoM!$H11,InfoM!$I11)</f>
        <v>40544</v>
      </c>
      <c r="HK14" s="30">
        <f ca="1">DATE(YEAR(HK$1),MONTH(HK$1)+InfoM!$H11,InfoM!$I11)</f>
        <v>40575</v>
      </c>
      <c r="HL14" s="30">
        <f ca="1">DATE(YEAR(HL$1),MONTH(HL$1)+InfoM!$H11,InfoM!$I11)</f>
        <v>40603</v>
      </c>
      <c r="HM14" s="30">
        <f ca="1">DATE(YEAR(HM$1),MONTH(HM$1)+InfoM!$H11,InfoM!$I11)</f>
        <v>40634</v>
      </c>
      <c r="HN14" s="30">
        <f ca="1">DATE(YEAR(HN$1),MONTH(HN$1)+InfoM!$H11,InfoM!$I11)</f>
        <v>40664</v>
      </c>
      <c r="HO14" s="30">
        <f ca="1">DATE(YEAR(HO$1),MONTH(HO$1)+InfoM!$H11,InfoM!$I11)</f>
        <v>40695</v>
      </c>
      <c r="HP14" s="30">
        <f ca="1">DATE(YEAR(HP$1),MONTH(HP$1)+InfoM!$H11,InfoM!$I11)</f>
        <v>40725</v>
      </c>
      <c r="HQ14" s="30">
        <f ca="1">DATE(YEAR(HQ$1),MONTH(HQ$1)+InfoM!$H11,InfoM!$I11)</f>
        <v>40756</v>
      </c>
      <c r="HR14" s="30">
        <f ca="1">DATE(YEAR(HR$1),MONTH(HR$1)+InfoM!$H11,InfoM!$I11)</f>
        <v>40787</v>
      </c>
      <c r="HS14" s="30">
        <f ca="1">DATE(YEAR(HS$1),MONTH(HS$1)+InfoM!$H11,InfoM!$I11)</f>
        <v>40817</v>
      </c>
      <c r="HT14" s="30">
        <f ca="1">DATE(YEAR(HT$1),MONTH(HT$1)+InfoM!$H11,InfoM!$I11)</f>
        <v>40848</v>
      </c>
      <c r="HU14" s="30">
        <f ca="1">DATE(YEAR(HU$1),MONTH(HU$1)+InfoM!$H11,InfoM!$I11)</f>
        <v>40878</v>
      </c>
      <c r="HV14" s="30">
        <f ca="1">DATE(YEAR(HV$1),MONTH(HV$1)+InfoM!$H11,InfoM!$I11)</f>
        <v>40909</v>
      </c>
      <c r="HW14" s="30">
        <f ca="1">DATE(YEAR(HW$1),MONTH(HW$1)+InfoM!$H11,InfoM!$I11)</f>
        <v>40940</v>
      </c>
      <c r="HX14" s="30">
        <f ca="1">DATE(YEAR(HX$1),MONTH(HX$1)+InfoM!$H11,InfoM!$I11)</f>
        <v>40969</v>
      </c>
      <c r="HY14" s="30">
        <f ca="1">DATE(YEAR(HY$1),MONTH(HY$1)+InfoM!$H11,InfoM!$I11)</f>
        <v>41000</v>
      </c>
      <c r="HZ14" s="30">
        <f ca="1">DATE(YEAR(HZ$1),MONTH(HZ$1)+InfoM!$H11,InfoM!$I11)</f>
        <v>41030</v>
      </c>
      <c r="IA14" s="30">
        <f ca="1">DATE(YEAR(IA$1),MONTH(IA$1)+InfoM!$H11,InfoM!$I11)</f>
        <v>41061</v>
      </c>
      <c r="IB14" s="30">
        <f ca="1">DATE(YEAR(IB$1),MONTH(IB$1)+InfoM!$H11,InfoM!$I11)</f>
        <v>41091</v>
      </c>
      <c r="IC14" s="30">
        <f ca="1">DATE(YEAR(IC$1),MONTH(IC$1)+InfoM!$H11,InfoM!$I11)</f>
        <v>41122</v>
      </c>
      <c r="ID14" s="30">
        <f ca="1">DATE(YEAR(ID$1),MONTH(ID$1)+InfoM!$H11,InfoM!$I11)</f>
        <v>41153</v>
      </c>
      <c r="IE14" s="30">
        <f ca="1">DATE(YEAR(IE$1),MONTH(IE$1)+InfoM!$H11,InfoM!$I11)</f>
        <v>41183</v>
      </c>
      <c r="IF14" s="30">
        <f ca="1">DATE(YEAR(IF$1),MONTH(IF$1)+InfoM!$H11,InfoM!$I11)</f>
        <v>41214</v>
      </c>
      <c r="IG14" s="30">
        <f ca="1">DATE(YEAR(IG$1),MONTH(IG$1)+InfoM!$H11,InfoM!$I11)</f>
        <v>41244</v>
      </c>
      <c r="IH14" s="30">
        <f ca="1">DATE(YEAR(IH$1),MONTH(IH$1)+InfoM!$H11,InfoM!$I11)</f>
        <v>41275</v>
      </c>
      <c r="II14" s="30">
        <f ca="1">DATE(YEAR(II$1),MONTH(II$1)+InfoM!$H11,InfoM!$I11)</f>
        <v>41306</v>
      </c>
      <c r="IJ14" s="30">
        <f ca="1">DATE(YEAR(IJ$1),MONTH(IJ$1)+InfoM!$H11,InfoM!$I11)</f>
        <v>41334</v>
      </c>
      <c r="IK14" s="30">
        <f ca="1">DATE(YEAR(IK$1),MONTH(IK$1)+InfoM!$H11,InfoM!$I11)</f>
        <v>41365</v>
      </c>
      <c r="IL14" s="30">
        <f ca="1">DATE(YEAR(IL$1),MONTH(IL$1)+InfoM!$H11,InfoM!$I11)</f>
        <v>41395</v>
      </c>
      <c r="IM14" s="30">
        <f ca="1">DATE(YEAR(IM$1),MONTH(IM$1)+InfoM!$H11,InfoM!$I11)</f>
        <v>41426</v>
      </c>
      <c r="IN14" s="30">
        <f ca="1">DATE(YEAR(IN$1),MONTH(IN$1)+InfoM!$H11,InfoM!$I11)</f>
        <v>41456</v>
      </c>
      <c r="IO14" s="30">
        <f ca="1">DATE(YEAR(IO$1),MONTH(IO$1)+InfoM!$H11,InfoM!$I11)</f>
        <v>41487</v>
      </c>
      <c r="IP14" s="30">
        <f ca="1">DATE(YEAR(IP$1),MONTH(IP$1)+InfoM!$H11,InfoM!$I11)</f>
        <v>41518</v>
      </c>
      <c r="IQ14" s="30">
        <f ca="1">DATE(YEAR(IQ$1),MONTH(IQ$1)+InfoM!$H11,InfoM!$I11)</f>
        <v>41548</v>
      </c>
      <c r="IR14" s="30">
        <f ca="1">DATE(YEAR(IR$1),MONTH(IR$1)+InfoM!$H11,InfoM!$I11)</f>
        <v>41579</v>
      </c>
      <c r="IS14" s="30">
        <f ca="1">DATE(YEAR(IS$1),MONTH(IS$1)+InfoM!$H11,InfoM!$I11)</f>
        <v>41609</v>
      </c>
      <c r="IT14" s="30">
        <f ca="1">DATE(YEAR(IT$1),MONTH(IT$1)+InfoM!$H11,InfoM!$I11)</f>
        <v>41640</v>
      </c>
      <c r="IU14" s="30">
        <f ca="1">DATE(YEAR(IU$1),MONTH(IU$1)+InfoM!$H11,InfoM!$I11)</f>
        <v>41671</v>
      </c>
      <c r="IV14" s="30">
        <f ca="1">DATE(YEAR(IV$1),MONTH(IV$1)+InfoM!$H11,InfoM!$I11)</f>
        <v>41699</v>
      </c>
      <c r="IW14" s="30">
        <f ca="1">DATE(YEAR(IW$1),MONTH(IW$1)+InfoM!$H11,InfoM!$I11)</f>
        <v>41730</v>
      </c>
      <c r="IX14" s="30">
        <f ca="1">DATE(YEAR(IX$1),MONTH(IX$1)+InfoM!$H11,InfoM!$I11)</f>
        <v>41760</v>
      </c>
      <c r="IY14" s="30">
        <f ca="1">DATE(YEAR(IY$1),MONTH(IY$1)+InfoM!$H11,InfoM!$I11)</f>
        <v>41791</v>
      </c>
      <c r="IZ14" s="30">
        <f ca="1">DATE(YEAR(IZ$1),MONTH(IZ$1)+InfoM!$H11,InfoM!$I11)</f>
        <v>41821</v>
      </c>
      <c r="JA14" s="30">
        <f ca="1">DATE(YEAR(JA$1),MONTH(JA$1)+InfoM!$H11,InfoM!$I11)</f>
        <v>41852</v>
      </c>
      <c r="JB14" s="30">
        <f ca="1">DATE(YEAR(JB$1),MONTH(JB$1)+InfoM!$H11,InfoM!$I11)</f>
        <v>41883</v>
      </c>
      <c r="JC14" s="30">
        <f ca="1">DATE(YEAR(JC$1),MONTH(JC$1)+InfoM!$H11,InfoM!$I11)</f>
        <v>41913</v>
      </c>
      <c r="JD14" s="30">
        <f ca="1">DATE(YEAR(JD$1),MONTH(JD$1)+InfoM!$H11,InfoM!$I11)</f>
        <v>41944</v>
      </c>
      <c r="JE14" s="30">
        <f ca="1">DATE(YEAR(JE$1),MONTH(JE$1)+InfoM!$H11,InfoM!$I11)</f>
        <v>41974</v>
      </c>
      <c r="JF14" s="30">
        <f ca="1">DATE(YEAR(JF$1),MONTH(JF$1)+InfoM!$H11,InfoM!$I11)</f>
        <v>42005</v>
      </c>
      <c r="JG14" s="30">
        <f ca="1">DATE(YEAR(JG$1),MONTH(JG$1)+InfoM!$H11,InfoM!$I11)</f>
        <v>42036</v>
      </c>
      <c r="JH14" s="30">
        <f ca="1">DATE(YEAR(JH$1),MONTH(JH$1)+InfoM!$H11,InfoM!$I11)</f>
        <v>42064</v>
      </c>
      <c r="JI14" s="30">
        <f ca="1">DATE(YEAR(JI$1),MONTH(JI$1)+InfoM!$H11,InfoM!$I11)</f>
        <v>42095</v>
      </c>
      <c r="JJ14" s="30">
        <f ca="1">DATE(YEAR(JJ$1),MONTH(JJ$1)+InfoM!$H11,InfoM!$I11)</f>
        <v>42125</v>
      </c>
      <c r="JK14" s="30">
        <f ca="1">DATE(YEAR(JK$1),MONTH(JK$1)+InfoM!$H11,InfoM!$I11)</f>
        <v>42156</v>
      </c>
      <c r="JL14" s="30">
        <f ca="1">DATE(YEAR(JL$1),MONTH(JL$1)+InfoM!$H11,InfoM!$I11)</f>
        <v>42186</v>
      </c>
      <c r="JM14" s="30">
        <f ca="1">DATE(YEAR(JM$1),MONTH(JM$1)+InfoM!$H11,InfoM!$I11)</f>
        <v>42217</v>
      </c>
      <c r="JN14" s="30">
        <f ca="1">DATE(YEAR(JN$1),MONTH(JN$1)+InfoM!$H11,InfoM!$I11)</f>
        <v>42248</v>
      </c>
      <c r="JO14" s="30">
        <f ca="1">DATE(YEAR(JO$1),MONTH(JO$1)+InfoM!$H11,InfoM!$I11)</f>
        <v>42278</v>
      </c>
      <c r="JP14" s="30">
        <f ca="1">DATE(YEAR(JP$1),MONTH(JP$1)+InfoM!$H11,InfoM!$I11)</f>
        <v>42309</v>
      </c>
      <c r="JQ14" s="30">
        <f ca="1">DATE(YEAR(JQ$1),MONTH(JQ$1)+InfoM!$H11,InfoM!$I11)</f>
        <v>42339</v>
      </c>
      <c r="JR14" s="30">
        <f ca="1">DATE(YEAR(JR$1),MONTH(JR$1)+InfoM!$H11,InfoM!$I11)</f>
        <v>42370</v>
      </c>
      <c r="JS14" s="30">
        <f ca="1">DATE(YEAR(JS$1),MONTH(JS$1)+InfoM!$H11,InfoM!$I11)</f>
        <v>42401</v>
      </c>
      <c r="JT14" s="30">
        <f ca="1">DATE(YEAR(JT$1),MONTH(JT$1)+InfoM!$H11,InfoM!$I11)</f>
        <v>42430</v>
      </c>
      <c r="JU14" s="30">
        <f ca="1">DATE(YEAR(JU$1),MONTH(JU$1)+InfoM!$H11,InfoM!$I11)</f>
        <v>42461</v>
      </c>
      <c r="JV14" s="30">
        <f ca="1">DATE(YEAR(JV$1),MONTH(JV$1)+InfoM!$H11,InfoM!$I11)</f>
        <v>42491</v>
      </c>
      <c r="JW14" s="30">
        <f ca="1">DATE(YEAR(JW$1),MONTH(JW$1)+InfoM!$H11,InfoM!$I11)</f>
        <v>42522</v>
      </c>
      <c r="JX14" s="30">
        <f ca="1">DATE(YEAR(JX$1),MONTH(JX$1)+InfoM!$H11,InfoM!$I11)</f>
        <v>42552</v>
      </c>
      <c r="JY14" s="30">
        <f ca="1">DATE(YEAR(JY$1),MONTH(JY$1)+InfoM!$H11,InfoM!$I11)</f>
        <v>42583</v>
      </c>
      <c r="JZ14" s="30">
        <f ca="1">DATE(YEAR(JZ$1),MONTH(JZ$1)+InfoM!$H11,InfoM!$I11)</f>
        <v>42614</v>
      </c>
      <c r="KA14" s="30">
        <f ca="1">DATE(YEAR(KA$1),MONTH(KA$1)+InfoM!$H11,InfoM!$I11)</f>
        <v>42644</v>
      </c>
      <c r="KB14" s="30">
        <f ca="1">DATE(YEAR(KB$1),MONTH(KB$1)+InfoM!$H11,InfoM!$I11)</f>
        <v>42675</v>
      </c>
      <c r="KC14" s="30">
        <f ca="1">DATE(YEAR(KC$1),MONTH(KC$1)+InfoM!$H11,InfoM!$I11)</f>
        <v>42705</v>
      </c>
      <c r="KD14" s="30">
        <f ca="1">DATE(YEAR(KD$1),MONTH(KD$1)+InfoM!$H11,InfoM!$I11)</f>
        <v>42736</v>
      </c>
      <c r="KE14" s="30">
        <f ca="1">DATE(YEAR(KE$1),MONTH(KE$1)+InfoM!$H11,InfoM!$I11)</f>
        <v>42767</v>
      </c>
      <c r="KF14" s="30">
        <f ca="1">DATE(YEAR(KF$1),MONTH(KF$1)+InfoM!$H11,InfoM!$I11)</f>
        <v>42795</v>
      </c>
      <c r="KG14" s="30">
        <f ca="1">DATE(YEAR(KG$1),MONTH(KG$1)+InfoM!$H11,InfoM!$I11)</f>
        <v>42826</v>
      </c>
      <c r="KH14" s="30">
        <f ca="1">DATE(YEAR(KH$1),MONTH(KH$1)+InfoM!$H11,InfoM!$I11)</f>
        <v>42856</v>
      </c>
      <c r="KI14" s="30">
        <f ca="1">DATE(YEAR(KI$1),MONTH(KI$1)+InfoM!$H11,InfoM!$I11)</f>
        <v>42887</v>
      </c>
      <c r="KJ14" s="30">
        <f ca="1">DATE(YEAR(KJ$1),MONTH(KJ$1)+InfoM!$H11,InfoM!$I11)</f>
        <v>42917</v>
      </c>
      <c r="KK14" s="30">
        <f ca="1">DATE(YEAR(KK$1),MONTH(KK$1)+InfoM!$H11,InfoM!$I11)</f>
        <v>42948</v>
      </c>
      <c r="KL14" s="30">
        <f ca="1">DATE(YEAR(KL$1),MONTH(KL$1)+InfoM!$H11,InfoM!$I11)</f>
        <v>42979</v>
      </c>
      <c r="KM14" s="30">
        <f ca="1">DATE(YEAR(KM$1),MONTH(KM$1)+InfoM!$H11,InfoM!$I11)</f>
        <v>43009</v>
      </c>
      <c r="KN14" s="30">
        <f ca="1">DATE(YEAR(KN$1),MONTH(KN$1)+InfoM!$H11,InfoM!$I11)</f>
        <v>43040</v>
      </c>
      <c r="KO14" s="30">
        <f ca="1">DATE(YEAR(KO$1),MONTH(KO$1)+InfoM!$H11,InfoM!$I11)</f>
        <v>43070</v>
      </c>
      <c r="KP14" s="30">
        <f ca="1">DATE(YEAR(KP$1),MONTH(KP$1)+InfoM!$H11,InfoM!$I11)</f>
        <v>43101</v>
      </c>
      <c r="KQ14" s="30">
        <f ca="1">DATE(YEAR(KQ$1),MONTH(KQ$1)+InfoM!$H11,InfoM!$I11)</f>
        <v>43132</v>
      </c>
      <c r="KR14" s="30">
        <f ca="1">DATE(YEAR(KR$1),MONTH(KR$1)+InfoM!$H11,InfoM!$I11)</f>
        <v>43160</v>
      </c>
      <c r="KS14" s="30">
        <f ca="1">DATE(YEAR(KS$1),MONTH(KS$1)+InfoM!$H11,InfoM!$I11)</f>
        <v>43191</v>
      </c>
      <c r="KT14" s="30">
        <f ca="1">DATE(YEAR(KT$1),MONTH(KT$1)+InfoM!$H11,InfoM!$I11)</f>
        <v>43221</v>
      </c>
      <c r="KU14" s="30">
        <f ca="1">DATE(YEAR(KU$1),MONTH(KU$1)+InfoM!$H11,InfoM!$I11)</f>
        <v>43252</v>
      </c>
      <c r="KV14" s="30">
        <f ca="1">DATE(YEAR(KV$1),MONTH(KV$1)+InfoM!$H11,InfoM!$I11)</f>
        <v>43282</v>
      </c>
      <c r="KW14" s="30">
        <f ca="1">DATE(YEAR(KW$1),MONTH(KW$1)+InfoM!$H11,InfoM!$I11)</f>
        <v>43313</v>
      </c>
      <c r="KX14" s="30">
        <f ca="1">DATE(YEAR(KX$1),MONTH(KX$1)+InfoM!$H11,InfoM!$I11)</f>
        <v>43344</v>
      </c>
      <c r="KY14" s="30">
        <f ca="1">DATE(YEAR(KY$1),MONTH(KY$1)+InfoM!$H11,InfoM!$I11)</f>
        <v>43374</v>
      </c>
      <c r="KZ14" s="30">
        <f ca="1">DATE(YEAR(KZ$1),MONTH(KZ$1)+InfoM!$H11,InfoM!$I11)</f>
        <v>43405</v>
      </c>
      <c r="LA14" s="30">
        <f ca="1">DATE(YEAR(LA$1),MONTH(LA$1)+InfoM!$H11,InfoM!$I11)</f>
        <v>43435</v>
      </c>
      <c r="LB14" s="30">
        <f ca="1">DATE(YEAR(LB$1),MONTH(LB$1)+InfoM!$H11,InfoM!$I11)</f>
        <v>43466</v>
      </c>
      <c r="LC14" s="30">
        <f ca="1">DATE(YEAR(LC$1),MONTH(LC$1)+InfoM!$H11,InfoM!$I11)</f>
        <v>43497</v>
      </c>
      <c r="LD14" s="30">
        <f ca="1">DATE(YEAR(LD$1),MONTH(LD$1)+InfoM!$H11,InfoM!$I11)</f>
        <v>43525</v>
      </c>
      <c r="LE14" s="30">
        <f ca="1">DATE(YEAR(LE$1),MONTH(LE$1)+InfoM!$H11,InfoM!$I11)</f>
        <v>43556</v>
      </c>
      <c r="LF14" s="30">
        <f ca="1">DATE(YEAR(LF$1),MONTH(LF$1)+InfoM!$H11,InfoM!$I11)</f>
        <v>43586</v>
      </c>
      <c r="LG14" s="30">
        <f ca="1">DATE(YEAR(LG$1),MONTH(LG$1)+InfoM!$H11,InfoM!$I11)</f>
        <v>43617</v>
      </c>
      <c r="LH14" s="30">
        <f ca="1">DATE(YEAR(LH$1),MONTH(LH$1)+InfoM!$H11,InfoM!$I11)</f>
        <v>43647</v>
      </c>
      <c r="LI14" s="30">
        <f ca="1">DATE(YEAR(LI$1),MONTH(LI$1)+InfoM!$H11,InfoM!$I11)</f>
        <v>43678</v>
      </c>
      <c r="LJ14" s="30">
        <f ca="1">DATE(YEAR(LJ$1),MONTH(LJ$1)+InfoM!$H11,InfoM!$I11)</f>
        <v>43709</v>
      </c>
      <c r="LK14" s="30">
        <f ca="1">DATE(YEAR(LK$1),MONTH(LK$1)+InfoM!$H11,InfoM!$I11)</f>
        <v>43739</v>
      </c>
      <c r="LL14" s="30">
        <f ca="1">DATE(YEAR(LL$1),MONTH(LL$1)+InfoM!$H11,InfoM!$I11)</f>
        <v>43770</v>
      </c>
      <c r="LM14" s="30">
        <f ca="1">DATE(YEAR(LM$1),MONTH(LM$1)+InfoM!$H11,InfoM!$I11)</f>
        <v>43800</v>
      </c>
      <c r="LN14" s="30">
        <f ca="1">DATE(YEAR(LN$1),MONTH(LN$1)+InfoM!$H11,InfoM!$I11)</f>
        <v>43831</v>
      </c>
      <c r="LO14" s="30">
        <f ca="1">DATE(YEAR(LO$1),MONTH(LO$1)+InfoM!$H11,InfoM!$I11)</f>
        <v>43862</v>
      </c>
      <c r="LP14" s="30">
        <f ca="1">DATE(YEAR(LP$1),MONTH(LP$1)+InfoM!$H11,InfoM!$I11)</f>
        <v>43891</v>
      </c>
      <c r="LQ14" s="30">
        <f ca="1">DATE(YEAR(LQ$1),MONTH(LQ$1)+InfoM!$H11,InfoM!$I11)</f>
        <v>43922</v>
      </c>
      <c r="LR14" s="30">
        <f ca="1">DATE(YEAR(LR$1),MONTH(LR$1)+InfoM!$H11,InfoM!$I11)</f>
        <v>43952</v>
      </c>
      <c r="LS14" s="30">
        <f ca="1">DATE(YEAR(LS$1),MONTH(LS$1)+InfoM!$H11,InfoM!$I11)</f>
        <v>43983</v>
      </c>
      <c r="LT14" s="30">
        <f ca="1">DATE(YEAR(LT$1),MONTH(LT$1)+InfoM!$H11,InfoM!$I11)</f>
        <v>44013</v>
      </c>
      <c r="LU14" s="30">
        <f ca="1">DATE(YEAR(LU$1),MONTH(LU$1)+InfoM!$H11,InfoM!$I11)</f>
        <v>44044</v>
      </c>
      <c r="LV14" s="30">
        <f ca="1">DATE(YEAR(LV$1),MONTH(LV$1)+InfoM!$H11,InfoM!$I11)</f>
        <v>44075</v>
      </c>
      <c r="LW14" s="30">
        <f ca="1">DATE(YEAR(LW$1),MONTH(LW$1)+InfoM!$H11,InfoM!$I11)</f>
        <v>44105</v>
      </c>
      <c r="LX14" s="30">
        <f ca="1">DATE(YEAR(LX$1),MONTH(LX$1)+InfoM!$H11,InfoM!$I11)</f>
        <v>44136</v>
      </c>
      <c r="LY14" s="30">
        <f ca="1">DATE(YEAR(LY$1),MONTH(LY$1)+InfoM!$H11,InfoM!$I11)</f>
        <v>44166</v>
      </c>
      <c r="LZ14" s="30">
        <f ca="1">DATE(YEAR(LZ$1),MONTH(LZ$1)+InfoM!$H11,InfoM!$I11)</f>
        <v>44197</v>
      </c>
      <c r="MA14" s="30">
        <f ca="1">DATE(YEAR(MA$1),MONTH(MA$1)+InfoM!$H11,InfoM!$I11)</f>
        <v>44228</v>
      </c>
      <c r="MB14" s="30">
        <f ca="1">DATE(YEAR(MB$1),MONTH(MB$1)+InfoM!$H11,InfoM!$I11)</f>
        <v>44256</v>
      </c>
      <c r="MC14" s="30">
        <f ca="1">DATE(YEAR(MC$1),MONTH(MC$1)+InfoM!$H11,InfoM!$I11)</f>
        <v>44287</v>
      </c>
      <c r="MD14" s="30">
        <f ca="1">DATE(YEAR(MD$1),MONTH(MD$1)+InfoM!$H11,InfoM!$I11)</f>
        <v>44317</v>
      </c>
      <c r="ME14" s="30">
        <f ca="1">DATE(YEAR(ME$1),MONTH(ME$1)+InfoM!$H11,InfoM!$I11)</f>
        <v>44348</v>
      </c>
      <c r="MF14" s="30">
        <f ca="1">DATE(YEAR(MF$1),MONTH(MF$1)+InfoM!$H11,InfoM!$I11)</f>
        <v>44378</v>
      </c>
      <c r="MG14" s="30">
        <f ca="1">DATE(YEAR(MG$1),MONTH(MG$1)+InfoM!$H11,InfoM!$I11)</f>
        <v>44409</v>
      </c>
      <c r="MH14" s="30">
        <f ca="1">DATE(YEAR(MH$1),MONTH(MH$1)+InfoM!$H11,InfoM!$I11)</f>
        <v>44440</v>
      </c>
      <c r="MI14" s="30">
        <f ca="1">DATE(YEAR(MI$1),MONTH(MI$1)+InfoM!$H11,InfoM!$I11)</f>
        <v>44470</v>
      </c>
      <c r="MJ14" s="30">
        <f ca="1">DATE(YEAR(MJ$1),MONTH(MJ$1)+InfoM!$H11,InfoM!$I11)</f>
        <v>44501</v>
      </c>
      <c r="MK14" s="30">
        <f ca="1">DATE(YEAR(MK$1),MONTH(MK$1)+InfoM!$H11,InfoM!$I11)</f>
        <v>44531</v>
      </c>
      <c r="ML14" s="30">
        <f ca="1">DATE(YEAR(ML$1),MONTH(ML$1)+InfoM!$H11,InfoM!$I11)</f>
        <v>44562</v>
      </c>
      <c r="MM14" s="30">
        <f ca="1">DATE(YEAR(MM$1),MONTH(MM$1)+InfoM!$H11,InfoM!$I11)</f>
        <v>44593</v>
      </c>
      <c r="MN14" s="30">
        <f ca="1">DATE(YEAR(MN$1),MONTH(MN$1)+InfoM!$H11,InfoM!$I11)</f>
        <v>44621</v>
      </c>
      <c r="MO14" s="30">
        <f ca="1">DATE(YEAR(MO$1),MONTH(MO$1)+InfoM!$H11,InfoM!$I11)</f>
        <v>44652</v>
      </c>
      <c r="MP14" s="30">
        <f ca="1">DATE(YEAR(MP$1),MONTH(MP$1)+InfoM!$H11,InfoM!$I11)</f>
        <v>44682</v>
      </c>
      <c r="MQ14" s="30">
        <f ca="1">DATE(YEAR(MQ$1),MONTH(MQ$1)+InfoM!$H11,InfoM!$I11)</f>
        <v>44713</v>
      </c>
      <c r="MR14" s="30">
        <f ca="1">DATE(YEAR(MR$1),MONTH(MR$1)+InfoM!$H11,InfoM!$I11)</f>
        <v>44743</v>
      </c>
      <c r="MS14" s="30">
        <f ca="1">DATE(YEAR(MS$1),MONTH(MS$1)+InfoM!$H11,InfoM!$I11)</f>
        <v>44774</v>
      </c>
      <c r="MT14" s="30">
        <f ca="1">DATE(YEAR(MT$1),MONTH(MT$1)+InfoM!$H11,InfoM!$I11)</f>
        <v>44805</v>
      </c>
      <c r="MU14" s="30">
        <f ca="1">DATE(YEAR(MU$1),MONTH(MU$1)+InfoM!$H11,InfoM!$I11)</f>
        <v>44835</v>
      </c>
      <c r="MV14" s="30">
        <f ca="1">DATE(YEAR(MV$1),MONTH(MV$1)+InfoM!$H11,InfoM!$I11)</f>
        <v>44866</v>
      </c>
      <c r="MW14" s="30">
        <f ca="1">DATE(YEAR(MW$1),MONTH(MW$1)+InfoM!$H11,InfoM!$I11)</f>
        <v>44896</v>
      </c>
      <c r="MX14" s="30">
        <f ca="1">DATE(YEAR(MX$1),MONTH(MX$1)+InfoM!$H11,InfoM!$I11)</f>
        <v>44927</v>
      </c>
      <c r="MY14" s="30">
        <f ca="1">DATE(YEAR(MY$1),MONTH(MY$1)+InfoM!$H11,InfoM!$I11)</f>
        <v>44958</v>
      </c>
      <c r="MZ14" s="30">
        <f ca="1">DATE(YEAR(MZ$1),MONTH(MZ$1)+InfoM!$H11,InfoM!$I11)</f>
        <v>44986</v>
      </c>
      <c r="NA14" s="30">
        <f ca="1">DATE(YEAR(NA$1),MONTH(NA$1)+InfoM!$H11,InfoM!$I11)</f>
        <v>45017</v>
      </c>
      <c r="NB14" s="30">
        <f ca="1">DATE(YEAR(NB$1),MONTH(NB$1)+InfoM!$H11,InfoM!$I11)</f>
        <v>45047</v>
      </c>
      <c r="NC14" s="30">
        <f ca="1">DATE(YEAR(NC$1),MONTH(NC$1)+InfoM!$H11,InfoM!$I11)</f>
        <v>45078</v>
      </c>
      <c r="ND14" s="30">
        <f ca="1">DATE(YEAR(ND$1),MONTH(ND$1)+InfoM!$H11,InfoM!$I11)</f>
        <v>45108</v>
      </c>
      <c r="NE14" s="30">
        <f ca="1">DATE(YEAR(NE$1),MONTH(NE$1)+InfoM!$H11,InfoM!$I11)</f>
        <v>45139</v>
      </c>
      <c r="NF14" s="30">
        <f ca="1">DATE(YEAR(NF$1),MONTH(NF$1)+InfoM!$H11,InfoM!$I11)</f>
        <v>45170</v>
      </c>
      <c r="NG14" s="30">
        <f ca="1">DATE(YEAR(NG$1),MONTH(NG$1)+InfoM!$H11,InfoM!$I11)</f>
        <v>45200</v>
      </c>
      <c r="NH14" s="30">
        <f ca="1">DATE(YEAR(NH$1),MONTH(NH$1)+InfoM!$H11,InfoM!$I11)</f>
        <v>45231</v>
      </c>
      <c r="NI14" s="30">
        <f ca="1">DATE(YEAR(NI$1),MONTH(NI$1)+InfoM!$H11,InfoM!$I11)</f>
        <v>45261</v>
      </c>
      <c r="NJ14" s="30">
        <f ca="1">DATE(YEAR(NJ$1),MONTH(NJ$1)+InfoM!$H11,InfoM!$I11)</f>
        <v>45292</v>
      </c>
      <c r="NK14" s="30">
        <f ca="1">DATE(YEAR(NK$1),MONTH(NK$1)+InfoM!$H11,InfoM!$I11)</f>
        <v>45323</v>
      </c>
      <c r="NL14" s="30">
        <f ca="1">DATE(YEAR(NL$1),MONTH(NL$1)+InfoM!$H11,InfoM!$I11)</f>
        <v>45352</v>
      </c>
      <c r="NM14" s="30">
        <f ca="1">DATE(YEAR(NM$1),MONTH(NM$1)+InfoM!$H11,InfoM!$I11)</f>
        <v>45383</v>
      </c>
      <c r="NN14" s="30">
        <f ca="1">DATE(YEAR(NN$1),MONTH(NN$1)+InfoM!$H11,InfoM!$I11)</f>
        <v>45413</v>
      </c>
      <c r="NO14" s="30">
        <f ca="1">DATE(YEAR(NO$1),MONTH(NO$1)+InfoM!$H11,InfoM!$I11)</f>
        <v>45444</v>
      </c>
      <c r="NP14" s="30">
        <f ca="1">DATE(YEAR(NP$1),MONTH(NP$1)+InfoM!$H11,InfoM!$I11)</f>
        <v>45474</v>
      </c>
      <c r="NQ14" s="30">
        <f ca="1">DATE(YEAR(NQ$1),MONTH(NQ$1)+InfoM!$H11,InfoM!$I11)</f>
        <v>45505</v>
      </c>
      <c r="NR14" s="30">
        <f ca="1">DATE(YEAR(NR$1),MONTH(NR$1)+InfoM!$H11,InfoM!$I11)</f>
        <v>45536</v>
      </c>
      <c r="NS14" s="30">
        <f ca="1">DATE(YEAR(NS$1),MONTH(NS$1)+InfoM!$H11,InfoM!$I11)</f>
        <v>45566</v>
      </c>
      <c r="NT14" s="30">
        <f ca="1">DATE(YEAR(NT$1),MONTH(NT$1)+InfoM!$H11,InfoM!$I11)</f>
        <v>45597</v>
      </c>
      <c r="NU14" s="30">
        <f ca="1">DATE(YEAR(NU$1),MONTH(NU$1)+InfoM!$H11,InfoM!$I11)</f>
        <v>45627</v>
      </c>
      <c r="NV14" s="30">
        <f ca="1">DATE(YEAR(NV$1),MONTH(NV$1)+InfoM!$H11,InfoM!$I11)</f>
        <v>45658</v>
      </c>
      <c r="NW14" s="30">
        <f ca="1">DATE(YEAR(NW$1),MONTH(NW$1)+InfoM!$H11,InfoM!$I11)</f>
        <v>45689</v>
      </c>
      <c r="NX14" s="30">
        <f ca="1">DATE(YEAR(NX$1),MONTH(NX$1)+InfoM!$H11,InfoM!$I11)</f>
        <v>45717</v>
      </c>
      <c r="NY14" s="30">
        <f ca="1">DATE(YEAR(NY$1),MONTH(NY$1)+InfoM!$H11,InfoM!$I11)</f>
        <v>45748</v>
      </c>
      <c r="NZ14" s="30">
        <f ca="1">DATE(YEAR(NZ$1),MONTH(NZ$1)+InfoM!$H11,InfoM!$I11)</f>
        <v>45778</v>
      </c>
      <c r="OA14" s="30">
        <f ca="1">DATE(YEAR(OA$1),MONTH(OA$1)+InfoM!$H11,InfoM!$I11)</f>
        <v>45809</v>
      </c>
      <c r="OB14" s="30">
        <f ca="1">DATE(YEAR(OB$1),MONTH(OB$1)+InfoM!$H11,InfoM!$I11)</f>
        <v>45839</v>
      </c>
      <c r="OC14" s="30">
        <f ca="1">DATE(YEAR(OC$1),MONTH(OC$1)+InfoM!$H11,InfoM!$I11)</f>
        <v>45870</v>
      </c>
      <c r="OD14" s="30">
        <f ca="1">DATE(YEAR(OD$1),MONTH(OD$1)+InfoM!$H11,InfoM!$I11)</f>
        <v>45901</v>
      </c>
      <c r="OE14" s="30">
        <f ca="1">DATE(YEAR(OE$1),MONTH(OE$1)+InfoM!$H11,InfoM!$I11)</f>
        <v>45931</v>
      </c>
      <c r="OF14" s="30">
        <f ca="1">DATE(YEAR(OF$1),MONTH(OF$1)+InfoM!$H11,InfoM!$I11)</f>
        <v>45962</v>
      </c>
      <c r="OG14" s="30">
        <f ca="1">DATE(YEAR(OG$1),MONTH(OG$1)+InfoM!$H11,InfoM!$I11)</f>
        <v>45992</v>
      </c>
      <c r="OH14" s="30">
        <f ca="1">DATE(YEAR(OH$1),MONTH(OH$1)+InfoM!$H11,InfoM!$I11)</f>
        <v>46023</v>
      </c>
      <c r="OI14" s="30">
        <f ca="1">DATE(YEAR(OI$1),MONTH(OI$1)+InfoM!$H11,InfoM!$I11)</f>
        <v>46054</v>
      </c>
      <c r="OJ14" s="30">
        <f ca="1">DATE(YEAR(OJ$1),MONTH(OJ$1)+InfoM!$H11,InfoM!$I11)</f>
        <v>46082</v>
      </c>
      <c r="OK14" s="30">
        <f ca="1">DATE(YEAR(OK$1),MONTH(OK$1)+InfoM!$H11,InfoM!$I11)</f>
        <v>46113</v>
      </c>
      <c r="OL14" s="30">
        <f ca="1">DATE(YEAR(OL$1),MONTH(OL$1)+InfoM!$H11,InfoM!$I11)</f>
        <v>46143</v>
      </c>
      <c r="OM14" s="30">
        <f ca="1">DATE(YEAR(OM$1),MONTH(OM$1)+InfoM!$H11,InfoM!$I11)</f>
        <v>46174</v>
      </c>
      <c r="ON14" s="30">
        <f ca="1">DATE(YEAR(ON$1),MONTH(ON$1)+InfoM!$H11,InfoM!$I11)</f>
        <v>46204</v>
      </c>
      <c r="OO14" s="30">
        <f ca="1">DATE(YEAR(OO$1),MONTH(OO$1)+InfoM!$H11,InfoM!$I11)</f>
        <v>46235</v>
      </c>
      <c r="OP14" s="30">
        <f ca="1">DATE(YEAR(OP$1),MONTH(OP$1)+InfoM!$H11,InfoM!$I11)</f>
        <v>46266</v>
      </c>
      <c r="OQ14" s="30">
        <f ca="1">DATE(YEAR(OQ$1),MONTH(OQ$1)+InfoM!$H11,InfoM!$I11)</f>
        <v>46296</v>
      </c>
      <c r="OR14" s="30">
        <f ca="1">DATE(YEAR(OR$1),MONTH(OR$1)+InfoM!$H11,InfoM!$I11)</f>
        <v>46327</v>
      </c>
      <c r="OS14" s="30">
        <f ca="1">DATE(YEAR(OS$1),MONTH(OS$1)+InfoM!$H11,InfoM!$I11)</f>
        <v>46357</v>
      </c>
      <c r="OT14" s="30">
        <f ca="1">DATE(YEAR(OT$1),MONTH(OT$1)+InfoM!$H11,InfoM!$I11)</f>
        <v>46388</v>
      </c>
    </row>
    <row r="15" spans="1:410" x14ac:dyDescent="0.35">
      <c r="A15" s="19" t="str">
        <f>InfoM!A12</f>
        <v>Policy_rate</v>
      </c>
      <c r="B15">
        <f>InfoM!G12</f>
        <v>1</v>
      </c>
      <c r="C15" s="30">
        <f>DATE(YEAR(C$1),MONTH(C$1)+InfoM!$H12,InfoM!$I12)</f>
        <v>34018</v>
      </c>
      <c r="D15" s="30">
        <f ca="1">DATE(YEAR(D$1),MONTH(D$1)+InfoM!$H12,InfoM!$I12)</f>
        <v>34046</v>
      </c>
      <c r="E15" s="30">
        <f ca="1">DATE(YEAR(E$1),MONTH(E$1)+InfoM!$H12,InfoM!$I12)</f>
        <v>34077</v>
      </c>
      <c r="F15" s="30">
        <f ca="1">DATE(YEAR(F$1),MONTH(F$1)+InfoM!$H12,InfoM!$I12)</f>
        <v>34107</v>
      </c>
      <c r="G15" s="30">
        <f ca="1">DATE(YEAR(G$1),MONTH(G$1)+InfoM!$H12,InfoM!$I12)</f>
        <v>34138</v>
      </c>
      <c r="H15" s="30">
        <f ca="1">DATE(YEAR(H$1),MONTH(H$1)+InfoM!$H12,InfoM!$I12)</f>
        <v>34168</v>
      </c>
      <c r="I15" s="30">
        <f ca="1">DATE(YEAR(I$1),MONTH(I$1)+InfoM!$H12,InfoM!$I12)</f>
        <v>34199</v>
      </c>
      <c r="J15" s="30">
        <f ca="1">DATE(YEAR(J$1),MONTH(J$1)+InfoM!$H12,InfoM!$I12)</f>
        <v>34230</v>
      </c>
      <c r="K15" s="30">
        <f ca="1">DATE(YEAR(K$1),MONTH(K$1)+InfoM!$H12,InfoM!$I12)</f>
        <v>34260</v>
      </c>
      <c r="L15" s="30">
        <f ca="1">DATE(YEAR(L$1),MONTH(L$1)+InfoM!$H12,InfoM!$I12)</f>
        <v>34291</v>
      </c>
      <c r="M15" s="30">
        <f ca="1">DATE(YEAR(M$1),MONTH(M$1)+InfoM!$H12,InfoM!$I12)</f>
        <v>34321</v>
      </c>
      <c r="N15" s="30">
        <f ca="1">DATE(YEAR(N$1),MONTH(N$1)+InfoM!$H12,InfoM!$I12)</f>
        <v>34352</v>
      </c>
      <c r="O15" s="30">
        <f ca="1">DATE(YEAR(O$1),MONTH(O$1)+InfoM!$H12,InfoM!$I12)</f>
        <v>34383</v>
      </c>
      <c r="P15" s="30">
        <f ca="1">DATE(YEAR(P$1),MONTH(P$1)+InfoM!$H12,InfoM!$I12)</f>
        <v>34411</v>
      </c>
      <c r="Q15" s="30">
        <f ca="1">DATE(YEAR(Q$1),MONTH(Q$1)+InfoM!$H12,InfoM!$I12)</f>
        <v>34442</v>
      </c>
      <c r="R15" s="30">
        <f ca="1">DATE(YEAR(R$1),MONTH(R$1)+InfoM!$H12,InfoM!$I12)</f>
        <v>34472</v>
      </c>
      <c r="S15" s="30">
        <f ca="1">DATE(YEAR(S$1),MONTH(S$1)+InfoM!$H12,InfoM!$I12)</f>
        <v>34503</v>
      </c>
      <c r="T15" s="30">
        <f ca="1">DATE(YEAR(T$1),MONTH(T$1)+InfoM!$H12,InfoM!$I12)</f>
        <v>34533</v>
      </c>
      <c r="U15" s="30">
        <f ca="1">DATE(YEAR(U$1),MONTH(U$1)+InfoM!$H12,InfoM!$I12)</f>
        <v>34564</v>
      </c>
      <c r="V15" s="30">
        <f ca="1">DATE(YEAR(V$1),MONTH(V$1)+InfoM!$H12,InfoM!$I12)</f>
        <v>34595</v>
      </c>
      <c r="W15" s="30">
        <f ca="1">DATE(YEAR(W$1),MONTH(W$1)+InfoM!$H12,InfoM!$I12)</f>
        <v>34625</v>
      </c>
      <c r="X15" s="30">
        <f ca="1">DATE(YEAR(X$1),MONTH(X$1)+InfoM!$H12,InfoM!$I12)</f>
        <v>34656</v>
      </c>
      <c r="Y15" s="30">
        <f ca="1">DATE(YEAR(Y$1),MONTH(Y$1)+InfoM!$H12,InfoM!$I12)</f>
        <v>34686</v>
      </c>
      <c r="Z15" s="30">
        <f ca="1">DATE(YEAR(Z$1),MONTH(Z$1)+InfoM!$H12,InfoM!$I12)</f>
        <v>34717</v>
      </c>
      <c r="AA15" s="30">
        <f ca="1">DATE(YEAR(AA$1),MONTH(AA$1)+InfoM!$H12,InfoM!$I12)</f>
        <v>34748</v>
      </c>
      <c r="AB15" s="30">
        <f ca="1">DATE(YEAR(AB$1),MONTH(AB$1)+InfoM!$H12,InfoM!$I12)</f>
        <v>34776</v>
      </c>
      <c r="AC15" s="30">
        <f ca="1">DATE(YEAR(AC$1),MONTH(AC$1)+InfoM!$H12,InfoM!$I12)</f>
        <v>34807</v>
      </c>
      <c r="AD15" s="30">
        <f ca="1">DATE(YEAR(AD$1),MONTH(AD$1)+InfoM!$H12,InfoM!$I12)</f>
        <v>34837</v>
      </c>
      <c r="AE15" s="30">
        <f ca="1">DATE(YEAR(AE$1),MONTH(AE$1)+InfoM!$H12,InfoM!$I12)</f>
        <v>34868</v>
      </c>
      <c r="AF15" s="30">
        <f ca="1">DATE(YEAR(AF$1),MONTH(AF$1)+InfoM!$H12,InfoM!$I12)</f>
        <v>34898</v>
      </c>
      <c r="AG15" s="30">
        <f ca="1">DATE(YEAR(AG$1),MONTH(AG$1)+InfoM!$H12,InfoM!$I12)</f>
        <v>34929</v>
      </c>
      <c r="AH15" s="30">
        <f ca="1">DATE(YEAR(AH$1),MONTH(AH$1)+InfoM!$H12,InfoM!$I12)</f>
        <v>34960</v>
      </c>
      <c r="AI15" s="30">
        <f ca="1">DATE(YEAR(AI$1),MONTH(AI$1)+InfoM!$H12,InfoM!$I12)</f>
        <v>34990</v>
      </c>
      <c r="AJ15" s="30">
        <f ca="1">DATE(YEAR(AJ$1),MONTH(AJ$1)+InfoM!$H12,InfoM!$I12)</f>
        <v>35021</v>
      </c>
      <c r="AK15" s="30">
        <f ca="1">DATE(YEAR(AK$1),MONTH(AK$1)+InfoM!$H12,InfoM!$I12)</f>
        <v>35051</v>
      </c>
      <c r="AL15" s="30">
        <f ca="1">DATE(YEAR(AL$1),MONTH(AL$1)+InfoM!$H12,InfoM!$I12)</f>
        <v>35082</v>
      </c>
      <c r="AM15" s="30">
        <f ca="1">DATE(YEAR(AM$1),MONTH(AM$1)+InfoM!$H12,InfoM!$I12)</f>
        <v>35113</v>
      </c>
      <c r="AN15" s="30">
        <f ca="1">DATE(YEAR(AN$1),MONTH(AN$1)+InfoM!$H12,InfoM!$I12)</f>
        <v>35142</v>
      </c>
      <c r="AO15" s="30">
        <f ca="1">DATE(YEAR(AO$1),MONTH(AO$1)+InfoM!$H12,InfoM!$I12)</f>
        <v>35173</v>
      </c>
      <c r="AP15" s="30">
        <f ca="1">DATE(YEAR(AP$1),MONTH(AP$1)+InfoM!$H12,InfoM!$I12)</f>
        <v>35203</v>
      </c>
      <c r="AQ15" s="30">
        <f ca="1">DATE(YEAR(AQ$1),MONTH(AQ$1)+InfoM!$H12,InfoM!$I12)</f>
        <v>35234</v>
      </c>
      <c r="AR15" s="30">
        <f ca="1">DATE(YEAR(AR$1),MONTH(AR$1)+InfoM!$H12,InfoM!$I12)</f>
        <v>35264</v>
      </c>
      <c r="AS15" s="30">
        <f ca="1">DATE(YEAR(AS$1),MONTH(AS$1)+InfoM!$H12,InfoM!$I12)</f>
        <v>35295</v>
      </c>
      <c r="AT15" s="30">
        <f ca="1">DATE(YEAR(AT$1),MONTH(AT$1)+InfoM!$H12,InfoM!$I12)</f>
        <v>35326</v>
      </c>
      <c r="AU15" s="30">
        <f ca="1">DATE(YEAR(AU$1),MONTH(AU$1)+InfoM!$H12,InfoM!$I12)</f>
        <v>35356</v>
      </c>
      <c r="AV15" s="30">
        <f ca="1">DATE(YEAR(AV$1),MONTH(AV$1)+InfoM!$H12,InfoM!$I12)</f>
        <v>35387</v>
      </c>
      <c r="AW15" s="30">
        <f ca="1">DATE(YEAR(AW$1),MONTH(AW$1)+InfoM!$H12,InfoM!$I12)</f>
        <v>35417</v>
      </c>
      <c r="AX15" s="30">
        <f ca="1">DATE(YEAR(AX$1),MONTH(AX$1)+InfoM!$H12,InfoM!$I12)</f>
        <v>35448</v>
      </c>
      <c r="AY15" s="30">
        <f ca="1">DATE(YEAR(AY$1),MONTH(AY$1)+InfoM!$H12,InfoM!$I12)</f>
        <v>35479</v>
      </c>
      <c r="AZ15" s="30">
        <f ca="1">DATE(YEAR(AZ$1),MONTH(AZ$1)+InfoM!$H12,InfoM!$I12)</f>
        <v>35507</v>
      </c>
      <c r="BA15" s="30">
        <f ca="1">DATE(YEAR(BA$1),MONTH(BA$1)+InfoM!$H12,InfoM!$I12)</f>
        <v>35538</v>
      </c>
      <c r="BB15" s="30">
        <f ca="1">DATE(YEAR(BB$1),MONTH(BB$1)+InfoM!$H12,InfoM!$I12)</f>
        <v>35568</v>
      </c>
      <c r="BC15" s="30">
        <f ca="1">DATE(YEAR(BC$1),MONTH(BC$1)+InfoM!$H12,InfoM!$I12)</f>
        <v>35599</v>
      </c>
      <c r="BD15" s="30">
        <f ca="1">DATE(YEAR(BD$1),MONTH(BD$1)+InfoM!$H12,InfoM!$I12)</f>
        <v>35629</v>
      </c>
      <c r="BE15" s="30">
        <f ca="1">DATE(YEAR(BE$1),MONTH(BE$1)+InfoM!$H12,InfoM!$I12)</f>
        <v>35660</v>
      </c>
      <c r="BF15" s="30">
        <f ca="1">DATE(YEAR(BF$1),MONTH(BF$1)+InfoM!$H12,InfoM!$I12)</f>
        <v>35691</v>
      </c>
      <c r="BG15" s="30">
        <f ca="1">DATE(YEAR(BG$1),MONTH(BG$1)+InfoM!$H12,InfoM!$I12)</f>
        <v>35721</v>
      </c>
      <c r="BH15" s="30">
        <f ca="1">DATE(YEAR(BH$1),MONTH(BH$1)+InfoM!$H12,InfoM!$I12)</f>
        <v>35752</v>
      </c>
      <c r="BI15" s="30">
        <f ca="1">DATE(YEAR(BI$1),MONTH(BI$1)+InfoM!$H12,InfoM!$I12)</f>
        <v>35782</v>
      </c>
      <c r="BJ15" s="30">
        <f ca="1">DATE(YEAR(BJ$1),MONTH(BJ$1)+InfoM!$H12,InfoM!$I12)</f>
        <v>35813</v>
      </c>
      <c r="BK15" s="30">
        <f ca="1">DATE(YEAR(BK$1),MONTH(BK$1)+InfoM!$H12,InfoM!$I12)</f>
        <v>35844</v>
      </c>
      <c r="BL15" s="30">
        <f ca="1">DATE(YEAR(BL$1),MONTH(BL$1)+InfoM!$H12,InfoM!$I12)</f>
        <v>35872</v>
      </c>
      <c r="BM15" s="30">
        <f ca="1">DATE(YEAR(BM$1),MONTH(BM$1)+InfoM!$H12,InfoM!$I12)</f>
        <v>35903</v>
      </c>
      <c r="BN15" s="30">
        <f ca="1">DATE(YEAR(BN$1),MONTH(BN$1)+InfoM!$H12,InfoM!$I12)</f>
        <v>35933</v>
      </c>
      <c r="BO15" s="30">
        <f ca="1">DATE(YEAR(BO$1),MONTH(BO$1)+InfoM!$H12,InfoM!$I12)</f>
        <v>35964</v>
      </c>
      <c r="BP15" s="30">
        <f ca="1">DATE(YEAR(BP$1),MONTH(BP$1)+InfoM!$H12,InfoM!$I12)</f>
        <v>35994</v>
      </c>
      <c r="BQ15" s="30">
        <f ca="1">DATE(YEAR(BQ$1),MONTH(BQ$1)+InfoM!$H12,InfoM!$I12)</f>
        <v>36025</v>
      </c>
      <c r="BR15" s="30">
        <f ca="1">DATE(YEAR(BR$1),MONTH(BR$1)+InfoM!$H12,InfoM!$I12)</f>
        <v>36056</v>
      </c>
      <c r="BS15" s="30">
        <f ca="1">DATE(YEAR(BS$1),MONTH(BS$1)+InfoM!$H12,InfoM!$I12)</f>
        <v>36086</v>
      </c>
      <c r="BT15" s="30">
        <f ca="1">DATE(YEAR(BT$1),MONTH(BT$1)+InfoM!$H12,InfoM!$I12)</f>
        <v>36117</v>
      </c>
      <c r="BU15" s="30">
        <f ca="1">DATE(YEAR(BU$1),MONTH(BU$1)+InfoM!$H12,InfoM!$I12)</f>
        <v>36147</v>
      </c>
      <c r="BV15" s="30">
        <f ca="1">DATE(YEAR(BV$1),MONTH(BV$1)+InfoM!$H12,InfoM!$I12)</f>
        <v>36178</v>
      </c>
      <c r="BW15" s="30">
        <f ca="1">DATE(YEAR(BW$1),MONTH(BW$1)+InfoM!$H12,InfoM!$I12)</f>
        <v>36209</v>
      </c>
      <c r="BX15" s="30">
        <f ca="1">DATE(YEAR(BX$1),MONTH(BX$1)+InfoM!$H12,InfoM!$I12)</f>
        <v>36237</v>
      </c>
      <c r="BY15" s="30">
        <f ca="1">DATE(YEAR(BY$1),MONTH(BY$1)+InfoM!$H12,InfoM!$I12)</f>
        <v>36268</v>
      </c>
      <c r="BZ15" s="30">
        <f ca="1">DATE(YEAR(BZ$1),MONTH(BZ$1)+InfoM!$H12,InfoM!$I12)</f>
        <v>36298</v>
      </c>
      <c r="CA15" s="30">
        <f ca="1">DATE(YEAR(CA$1),MONTH(CA$1)+InfoM!$H12,InfoM!$I12)</f>
        <v>36329</v>
      </c>
      <c r="CB15" s="30">
        <f ca="1">DATE(YEAR(CB$1),MONTH(CB$1)+InfoM!$H12,InfoM!$I12)</f>
        <v>36359</v>
      </c>
      <c r="CC15" s="30">
        <f ca="1">DATE(YEAR(CC$1),MONTH(CC$1)+InfoM!$H12,InfoM!$I12)</f>
        <v>36390</v>
      </c>
      <c r="CD15" s="30">
        <f ca="1">DATE(YEAR(CD$1),MONTH(CD$1)+InfoM!$H12,InfoM!$I12)</f>
        <v>36421</v>
      </c>
      <c r="CE15" s="30">
        <f ca="1">DATE(YEAR(CE$1),MONTH(CE$1)+InfoM!$H12,InfoM!$I12)</f>
        <v>36451</v>
      </c>
      <c r="CF15" s="30">
        <f ca="1">DATE(YEAR(CF$1),MONTH(CF$1)+InfoM!$H12,InfoM!$I12)</f>
        <v>36482</v>
      </c>
      <c r="CG15" s="30">
        <f ca="1">DATE(YEAR(CG$1),MONTH(CG$1)+InfoM!$H12,InfoM!$I12)</f>
        <v>36512</v>
      </c>
      <c r="CH15" s="30">
        <f ca="1">DATE(YEAR(CH$1),MONTH(CH$1)+InfoM!$H12,InfoM!$I12)</f>
        <v>36543</v>
      </c>
      <c r="CI15" s="30">
        <f ca="1">DATE(YEAR(CI$1),MONTH(CI$1)+InfoM!$H12,InfoM!$I12)</f>
        <v>36574</v>
      </c>
      <c r="CJ15" s="30">
        <f ca="1">DATE(YEAR(CJ$1),MONTH(CJ$1)+InfoM!$H12,InfoM!$I12)</f>
        <v>36603</v>
      </c>
      <c r="CK15" s="30">
        <f ca="1">DATE(YEAR(CK$1),MONTH(CK$1)+InfoM!$H12,InfoM!$I12)</f>
        <v>36634</v>
      </c>
      <c r="CL15" s="30">
        <f ca="1">DATE(YEAR(CL$1),MONTH(CL$1)+InfoM!$H12,InfoM!$I12)</f>
        <v>36664</v>
      </c>
      <c r="CM15" s="30">
        <f ca="1">DATE(YEAR(CM$1),MONTH(CM$1)+InfoM!$H12,InfoM!$I12)</f>
        <v>36695</v>
      </c>
      <c r="CN15" s="30">
        <f ca="1">DATE(YEAR(CN$1),MONTH(CN$1)+InfoM!$H12,InfoM!$I12)</f>
        <v>36725</v>
      </c>
      <c r="CO15" s="30">
        <f ca="1">DATE(YEAR(CO$1),MONTH(CO$1)+InfoM!$H12,InfoM!$I12)</f>
        <v>36756</v>
      </c>
      <c r="CP15" s="30">
        <f ca="1">DATE(YEAR(CP$1),MONTH(CP$1)+InfoM!$H12,InfoM!$I12)</f>
        <v>36787</v>
      </c>
      <c r="CQ15" s="30">
        <f ca="1">DATE(YEAR(CQ$1),MONTH(CQ$1)+InfoM!$H12,InfoM!$I12)</f>
        <v>36817</v>
      </c>
      <c r="CR15" s="30">
        <f ca="1">DATE(YEAR(CR$1),MONTH(CR$1)+InfoM!$H12,InfoM!$I12)</f>
        <v>36848</v>
      </c>
      <c r="CS15" s="30">
        <f ca="1">DATE(YEAR(CS$1),MONTH(CS$1)+InfoM!$H12,InfoM!$I12)</f>
        <v>36878</v>
      </c>
      <c r="CT15" s="30">
        <f ca="1">DATE(YEAR(CT$1),MONTH(CT$1)+InfoM!$H12,InfoM!$I12)</f>
        <v>36909</v>
      </c>
      <c r="CU15" s="30">
        <f ca="1">DATE(YEAR(CU$1),MONTH(CU$1)+InfoM!$H12,InfoM!$I12)</f>
        <v>36940</v>
      </c>
      <c r="CV15" s="30">
        <f ca="1">DATE(YEAR(CV$1),MONTH(CV$1)+InfoM!$H12,InfoM!$I12)</f>
        <v>36968</v>
      </c>
      <c r="CW15" s="30">
        <f ca="1">DATE(YEAR(CW$1),MONTH(CW$1)+InfoM!$H12,InfoM!$I12)</f>
        <v>36999</v>
      </c>
      <c r="CX15" s="30">
        <f ca="1">DATE(YEAR(CX$1),MONTH(CX$1)+InfoM!$H12,InfoM!$I12)</f>
        <v>37029</v>
      </c>
      <c r="CY15" s="30">
        <f ca="1">DATE(YEAR(CY$1),MONTH(CY$1)+InfoM!$H12,InfoM!$I12)</f>
        <v>37060</v>
      </c>
      <c r="CZ15" s="30">
        <f ca="1">DATE(YEAR(CZ$1),MONTH(CZ$1)+InfoM!$H12,InfoM!$I12)</f>
        <v>37090</v>
      </c>
      <c r="DA15" s="30">
        <f ca="1">DATE(YEAR(DA$1),MONTH(DA$1)+InfoM!$H12,InfoM!$I12)</f>
        <v>37121</v>
      </c>
      <c r="DB15" s="30">
        <f ca="1">DATE(YEAR(DB$1),MONTH(DB$1)+InfoM!$H12,InfoM!$I12)</f>
        <v>37152</v>
      </c>
      <c r="DC15" s="30">
        <f ca="1">DATE(YEAR(DC$1),MONTH(DC$1)+InfoM!$H12,InfoM!$I12)</f>
        <v>37182</v>
      </c>
      <c r="DD15" s="30">
        <f ca="1">DATE(YEAR(DD$1),MONTH(DD$1)+InfoM!$H12,InfoM!$I12)</f>
        <v>37213</v>
      </c>
      <c r="DE15" s="30">
        <f ca="1">DATE(YEAR(DE$1),MONTH(DE$1)+InfoM!$H12,InfoM!$I12)</f>
        <v>37243</v>
      </c>
      <c r="DF15" s="30">
        <f ca="1">DATE(YEAR(DF$1),MONTH(DF$1)+InfoM!$H12,InfoM!$I12)</f>
        <v>37274</v>
      </c>
      <c r="DG15" s="30">
        <f ca="1">DATE(YEAR(DG$1),MONTH(DG$1)+InfoM!$H12,InfoM!$I12)</f>
        <v>37305</v>
      </c>
      <c r="DH15" s="30">
        <f ca="1">DATE(YEAR(DH$1),MONTH(DH$1)+InfoM!$H12,InfoM!$I12)</f>
        <v>37333</v>
      </c>
      <c r="DI15" s="30">
        <f ca="1">DATE(YEAR(DI$1),MONTH(DI$1)+InfoM!$H12,InfoM!$I12)</f>
        <v>37364</v>
      </c>
      <c r="DJ15" s="30">
        <f ca="1">DATE(YEAR(DJ$1),MONTH(DJ$1)+InfoM!$H12,InfoM!$I12)</f>
        <v>37394</v>
      </c>
      <c r="DK15" s="30">
        <f ca="1">DATE(YEAR(DK$1),MONTH(DK$1)+InfoM!$H12,InfoM!$I12)</f>
        <v>37425</v>
      </c>
      <c r="DL15" s="30">
        <f ca="1">DATE(YEAR(DL$1),MONTH(DL$1)+InfoM!$H12,InfoM!$I12)</f>
        <v>37455</v>
      </c>
      <c r="DM15" s="30">
        <f ca="1">DATE(YEAR(DM$1),MONTH(DM$1)+InfoM!$H12,InfoM!$I12)</f>
        <v>37486</v>
      </c>
      <c r="DN15" s="30">
        <f ca="1">DATE(YEAR(DN$1),MONTH(DN$1)+InfoM!$H12,InfoM!$I12)</f>
        <v>37517</v>
      </c>
      <c r="DO15" s="30">
        <f ca="1">DATE(YEAR(DO$1),MONTH(DO$1)+InfoM!$H12,InfoM!$I12)</f>
        <v>37547</v>
      </c>
      <c r="DP15" s="30">
        <f ca="1">DATE(YEAR(DP$1),MONTH(DP$1)+InfoM!$H12,InfoM!$I12)</f>
        <v>37578</v>
      </c>
      <c r="DQ15" s="30">
        <f ca="1">DATE(YEAR(DQ$1),MONTH(DQ$1)+InfoM!$H12,InfoM!$I12)</f>
        <v>37608</v>
      </c>
      <c r="DR15" s="30">
        <f ca="1">DATE(YEAR(DR$1),MONTH(DR$1)+InfoM!$H12,InfoM!$I12)</f>
        <v>37639</v>
      </c>
      <c r="DS15" s="30">
        <f ca="1">DATE(YEAR(DS$1),MONTH(DS$1)+InfoM!$H12,InfoM!$I12)</f>
        <v>37670</v>
      </c>
      <c r="DT15" s="30">
        <f ca="1">DATE(YEAR(DT$1),MONTH(DT$1)+InfoM!$H12,InfoM!$I12)</f>
        <v>37698</v>
      </c>
      <c r="DU15" s="30">
        <f ca="1">DATE(YEAR(DU$1),MONTH(DU$1)+InfoM!$H12,InfoM!$I12)</f>
        <v>37729</v>
      </c>
      <c r="DV15" s="30">
        <f ca="1">DATE(YEAR(DV$1),MONTH(DV$1)+InfoM!$H12,InfoM!$I12)</f>
        <v>37759</v>
      </c>
      <c r="DW15" s="30">
        <f ca="1">DATE(YEAR(DW$1),MONTH(DW$1)+InfoM!$H12,InfoM!$I12)</f>
        <v>37790</v>
      </c>
      <c r="DX15" s="30">
        <f ca="1">DATE(YEAR(DX$1),MONTH(DX$1)+InfoM!$H12,InfoM!$I12)</f>
        <v>37820</v>
      </c>
      <c r="DY15" s="30">
        <f ca="1">DATE(YEAR(DY$1),MONTH(DY$1)+InfoM!$H12,InfoM!$I12)</f>
        <v>37851</v>
      </c>
      <c r="DZ15" s="30">
        <f ca="1">DATE(YEAR(DZ$1),MONTH(DZ$1)+InfoM!$H12,InfoM!$I12)</f>
        <v>37882</v>
      </c>
      <c r="EA15" s="30">
        <f ca="1">DATE(YEAR(EA$1),MONTH(EA$1)+InfoM!$H12,InfoM!$I12)</f>
        <v>37912</v>
      </c>
      <c r="EB15" s="30">
        <f ca="1">DATE(YEAR(EB$1),MONTH(EB$1)+InfoM!$H12,InfoM!$I12)</f>
        <v>37943</v>
      </c>
      <c r="EC15" s="30">
        <f ca="1">DATE(YEAR(EC$1),MONTH(EC$1)+InfoM!$H12,InfoM!$I12)</f>
        <v>37973</v>
      </c>
      <c r="ED15" s="30">
        <f ca="1">DATE(YEAR(ED$1),MONTH(ED$1)+InfoM!$H12,InfoM!$I12)</f>
        <v>38004</v>
      </c>
      <c r="EE15" s="30">
        <f ca="1">DATE(YEAR(EE$1),MONTH(EE$1)+InfoM!$H12,InfoM!$I12)</f>
        <v>38035</v>
      </c>
      <c r="EF15" s="30">
        <f ca="1">DATE(YEAR(EF$1),MONTH(EF$1)+InfoM!$H12,InfoM!$I12)</f>
        <v>38064</v>
      </c>
      <c r="EG15" s="30">
        <f ca="1">DATE(YEAR(EG$1),MONTH(EG$1)+InfoM!$H12,InfoM!$I12)</f>
        <v>38095</v>
      </c>
      <c r="EH15" s="30">
        <f ca="1">DATE(YEAR(EH$1),MONTH(EH$1)+InfoM!$H12,InfoM!$I12)</f>
        <v>38125</v>
      </c>
      <c r="EI15" s="30">
        <f ca="1">DATE(YEAR(EI$1),MONTH(EI$1)+InfoM!$H12,InfoM!$I12)</f>
        <v>38156</v>
      </c>
      <c r="EJ15" s="30">
        <f ca="1">DATE(YEAR(EJ$1),MONTH(EJ$1)+InfoM!$H12,InfoM!$I12)</f>
        <v>38186</v>
      </c>
      <c r="EK15" s="30">
        <f ca="1">DATE(YEAR(EK$1),MONTH(EK$1)+InfoM!$H12,InfoM!$I12)</f>
        <v>38217</v>
      </c>
      <c r="EL15" s="30">
        <f ca="1">DATE(YEAR(EL$1),MONTH(EL$1)+InfoM!$H12,InfoM!$I12)</f>
        <v>38248</v>
      </c>
      <c r="EM15" s="30">
        <f ca="1">DATE(YEAR(EM$1),MONTH(EM$1)+InfoM!$H12,InfoM!$I12)</f>
        <v>38278</v>
      </c>
      <c r="EN15" s="30">
        <f ca="1">DATE(YEAR(EN$1),MONTH(EN$1)+InfoM!$H12,InfoM!$I12)</f>
        <v>38309</v>
      </c>
      <c r="EO15" s="30">
        <f ca="1">DATE(YEAR(EO$1),MONTH(EO$1)+InfoM!$H12,InfoM!$I12)</f>
        <v>38339</v>
      </c>
      <c r="EP15" s="30">
        <f ca="1">DATE(YEAR(EP$1),MONTH(EP$1)+InfoM!$H12,InfoM!$I12)</f>
        <v>38370</v>
      </c>
      <c r="EQ15" s="30">
        <f ca="1">DATE(YEAR(EQ$1),MONTH(EQ$1)+InfoM!$H12,InfoM!$I12)</f>
        <v>38401</v>
      </c>
      <c r="ER15" s="30">
        <f ca="1">DATE(YEAR(ER$1),MONTH(ER$1)+InfoM!$H12,InfoM!$I12)</f>
        <v>38429</v>
      </c>
      <c r="ES15" s="30">
        <f ca="1">DATE(YEAR(ES$1),MONTH(ES$1)+InfoM!$H12,InfoM!$I12)</f>
        <v>38460</v>
      </c>
      <c r="ET15" s="30">
        <f ca="1">DATE(YEAR(ET$1),MONTH(ET$1)+InfoM!$H12,InfoM!$I12)</f>
        <v>38490</v>
      </c>
      <c r="EU15" s="30">
        <f ca="1">DATE(YEAR(EU$1),MONTH(EU$1)+InfoM!$H12,InfoM!$I12)</f>
        <v>38521</v>
      </c>
      <c r="EV15" s="30">
        <f ca="1">DATE(YEAR(EV$1),MONTH(EV$1)+InfoM!$H12,InfoM!$I12)</f>
        <v>38551</v>
      </c>
      <c r="EW15" s="30">
        <f ca="1">DATE(YEAR(EW$1),MONTH(EW$1)+InfoM!$H12,InfoM!$I12)</f>
        <v>38582</v>
      </c>
      <c r="EX15" s="30">
        <f ca="1">DATE(YEAR(EX$1),MONTH(EX$1)+InfoM!$H12,InfoM!$I12)</f>
        <v>38613</v>
      </c>
      <c r="EY15" s="30">
        <f ca="1">DATE(YEAR(EY$1),MONTH(EY$1)+InfoM!$H12,InfoM!$I12)</f>
        <v>38643</v>
      </c>
      <c r="EZ15" s="30">
        <f ca="1">DATE(YEAR(EZ$1),MONTH(EZ$1)+InfoM!$H12,InfoM!$I12)</f>
        <v>38674</v>
      </c>
      <c r="FA15" s="30">
        <f ca="1">DATE(YEAR(FA$1),MONTH(FA$1)+InfoM!$H12,InfoM!$I12)</f>
        <v>38704</v>
      </c>
      <c r="FB15" s="30">
        <f ca="1">DATE(YEAR(FB$1),MONTH(FB$1)+InfoM!$H12,InfoM!$I12)</f>
        <v>38735</v>
      </c>
      <c r="FC15" s="30">
        <f ca="1">DATE(YEAR(FC$1),MONTH(FC$1)+InfoM!$H12,InfoM!$I12)</f>
        <v>38766</v>
      </c>
      <c r="FD15" s="30">
        <f ca="1">DATE(YEAR(FD$1),MONTH(FD$1)+InfoM!$H12,InfoM!$I12)</f>
        <v>38794</v>
      </c>
      <c r="FE15" s="30">
        <f ca="1">DATE(YEAR(FE$1),MONTH(FE$1)+InfoM!$H12,InfoM!$I12)</f>
        <v>38825</v>
      </c>
      <c r="FF15" s="30">
        <f ca="1">DATE(YEAR(FF$1),MONTH(FF$1)+InfoM!$H12,InfoM!$I12)</f>
        <v>38855</v>
      </c>
      <c r="FG15" s="30">
        <f ca="1">DATE(YEAR(FG$1),MONTH(FG$1)+InfoM!$H12,InfoM!$I12)</f>
        <v>38886</v>
      </c>
      <c r="FH15" s="30">
        <f ca="1">DATE(YEAR(FH$1),MONTH(FH$1)+InfoM!$H12,InfoM!$I12)</f>
        <v>38916</v>
      </c>
      <c r="FI15" s="30">
        <f ca="1">DATE(YEAR(FI$1),MONTH(FI$1)+InfoM!$H12,InfoM!$I12)</f>
        <v>38947</v>
      </c>
      <c r="FJ15" s="30">
        <f ca="1">DATE(YEAR(FJ$1),MONTH(FJ$1)+InfoM!$H12,InfoM!$I12)</f>
        <v>38978</v>
      </c>
      <c r="FK15" s="30">
        <f ca="1">DATE(YEAR(FK$1),MONTH(FK$1)+InfoM!$H12,InfoM!$I12)</f>
        <v>39008</v>
      </c>
      <c r="FL15" s="30">
        <f ca="1">DATE(YEAR(FL$1),MONTH(FL$1)+InfoM!$H12,InfoM!$I12)</f>
        <v>39039</v>
      </c>
      <c r="FM15" s="30">
        <f ca="1">DATE(YEAR(FM$1),MONTH(FM$1)+InfoM!$H12,InfoM!$I12)</f>
        <v>39069</v>
      </c>
      <c r="FN15" s="30">
        <f ca="1">DATE(YEAR(FN$1),MONTH(FN$1)+InfoM!$H12,InfoM!$I12)</f>
        <v>39100</v>
      </c>
      <c r="FO15" s="30">
        <f ca="1">DATE(YEAR(FO$1),MONTH(FO$1)+InfoM!$H12,InfoM!$I12)</f>
        <v>39131</v>
      </c>
      <c r="FP15" s="30">
        <f ca="1">DATE(YEAR(FP$1),MONTH(FP$1)+InfoM!$H12,InfoM!$I12)</f>
        <v>39159</v>
      </c>
      <c r="FQ15" s="30">
        <f ca="1">DATE(YEAR(FQ$1),MONTH(FQ$1)+InfoM!$H12,InfoM!$I12)</f>
        <v>39190</v>
      </c>
      <c r="FR15" s="30">
        <f ca="1">DATE(YEAR(FR$1),MONTH(FR$1)+InfoM!$H12,InfoM!$I12)</f>
        <v>39220</v>
      </c>
      <c r="FS15" s="30">
        <f ca="1">DATE(YEAR(FS$1),MONTH(FS$1)+InfoM!$H12,InfoM!$I12)</f>
        <v>39251</v>
      </c>
      <c r="FT15" s="30">
        <f ca="1">DATE(YEAR(FT$1),MONTH(FT$1)+InfoM!$H12,InfoM!$I12)</f>
        <v>39281</v>
      </c>
      <c r="FU15" s="30">
        <f ca="1">DATE(YEAR(FU$1),MONTH(FU$1)+InfoM!$H12,InfoM!$I12)</f>
        <v>39312</v>
      </c>
      <c r="FV15" s="30">
        <f ca="1">DATE(YEAR(FV$1),MONTH(FV$1)+InfoM!$H12,InfoM!$I12)</f>
        <v>39343</v>
      </c>
      <c r="FW15" s="30">
        <f ca="1">DATE(YEAR(FW$1),MONTH(FW$1)+InfoM!$H12,InfoM!$I12)</f>
        <v>39373</v>
      </c>
      <c r="FX15" s="30">
        <f ca="1">DATE(YEAR(FX$1),MONTH(FX$1)+InfoM!$H12,InfoM!$I12)</f>
        <v>39404</v>
      </c>
      <c r="FY15" s="30">
        <f ca="1">DATE(YEAR(FY$1),MONTH(FY$1)+InfoM!$H12,InfoM!$I12)</f>
        <v>39434</v>
      </c>
      <c r="FZ15" s="30">
        <f ca="1">DATE(YEAR(FZ$1),MONTH(FZ$1)+InfoM!$H12,InfoM!$I12)</f>
        <v>39465</v>
      </c>
      <c r="GA15" s="30">
        <f ca="1">DATE(YEAR(GA$1),MONTH(GA$1)+InfoM!$H12,InfoM!$I12)</f>
        <v>39496</v>
      </c>
      <c r="GB15" s="30">
        <f ca="1">DATE(YEAR(GB$1),MONTH(GB$1)+InfoM!$H12,InfoM!$I12)</f>
        <v>39525</v>
      </c>
      <c r="GC15" s="30">
        <f ca="1">DATE(YEAR(GC$1),MONTH(GC$1)+InfoM!$H12,InfoM!$I12)</f>
        <v>39556</v>
      </c>
      <c r="GD15" s="30">
        <f ca="1">DATE(YEAR(GD$1),MONTH(GD$1)+InfoM!$H12,InfoM!$I12)</f>
        <v>39586</v>
      </c>
      <c r="GE15" s="30">
        <f ca="1">DATE(YEAR(GE$1),MONTH(GE$1)+InfoM!$H12,InfoM!$I12)</f>
        <v>39617</v>
      </c>
      <c r="GF15" s="30">
        <f ca="1">DATE(YEAR(GF$1),MONTH(GF$1)+InfoM!$H12,InfoM!$I12)</f>
        <v>39647</v>
      </c>
      <c r="GG15" s="30">
        <f ca="1">DATE(YEAR(GG$1),MONTH(GG$1)+InfoM!$H12,InfoM!$I12)</f>
        <v>39678</v>
      </c>
      <c r="GH15" s="30">
        <f ca="1">DATE(YEAR(GH$1),MONTH(GH$1)+InfoM!$H12,InfoM!$I12)</f>
        <v>39709</v>
      </c>
      <c r="GI15" s="30">
        <f ca="1">DATE(YEAR(GI$1),MONTH(GI$1)+InfoM!$H12,InfoM!$I12)</f>
        <v>39739</v>
      </c>
      <c r="GJ15" s="30">
        <f ca="1">DATE(YEAR(GJ$1),MONTH(GJ$1)+InfoM!$H12,InfoM!$I12)</f>
        <v>39770</v>
      </c>
      <c r="GK15" s="30">
        <f ca="1">DATE(YEAR(GK$1),MONTH(GK$1)+InfoM!$H12,InfoM!$I12)</f>
        <v>39800</v>
      </c>
      <c r="GL15" s="30">
        <f ca="1">DATE(YEAR(GL$1),MONTH(GL$1)+InfoM!$H12,InfoM!$I12)</f>
        <v>39831</v>
      </c>
      <c r="GM15" s="30">
        <f ca="1">DATE(YEAR(GM$1),MONTH(GM$1)+InfoM!$H12,InfoM!$I12)</f>
        <v>39862</v>
      </c>
      <c r="GN15" s="30">
        <f ca="1">DATE(YEAR(GN$1),MONTH(GN$1)+InfoM!$H12,InfoM!$I12)</f>
        <v>39890</v>
      </c>
      <c r="GO15" s="30">
        <f ca="1">DATE(YEAR(GO$1),MONTH(GO$1)+InfoM!$H12,InfoM!$I12)</f>
        <v>39921</v>
      </c>
      <c r="GP15" s="30">
        <f ca="1">DATE(YEAR(GP$1),MONTH(GP$1)+InfoM!$H12,InfoM!$I12)</f>
        <v>39951</v>
      </c>
      <c r="GQ15" s="30">
        <f ca="1">DATE(YEAR(GQ$1),MONTH(GQ$1)+InfoM!$H12,InfoM!$I12)</f>
        <v>39982</v>
      </c>
      <c r="GR15" s="30">
        <f ca="1">DATE(YEAR(GR$1),MONTH(GR$1)+InfoM!$H12,InfoM!$I12)</f>
        <v>40012</v>
      </c>
      <c r="GS15" s="30">
        <f ca="1">DATE(YEAR(GS$1),MONTH(GS$1)+InfoM!$H12,InfoM!$I12)</f>
        <v>40043</v>
      </c>
      <c r="GT15" s="30">
        <f ca="1">DATE(YEAR(GT$1),MONTH(GT$1)+InfoM!$H12,InfoM!$I12)</f>
        <v>40074</v>
      </c>
      <c r="GU15" s="30">
        <f ca="1">DATE(YEAR(GU$1),MONTH(GU$1)+InfoM!$H12,InfoM!$I12)</f>
        <v>40104</v>
      </c>
      <c r="GV15" s="30">
        <f ca="1">DATE(YEAR(GV$1),MONTH(GV$1)+InfoM!$H12,InfoM!$I12)</f>
        <v>40135</v>
      </c>
      <c r="GW15" s="30">
        <f ca="1">DATE(YEAR(GW$1),MONTH(GW$1)+InfoM!$H12,InfoM!$I12)</f>
        <v>40165</v>
      </c>
      <c r="GX15" s="30">
        <f ca="1">DATE(YEAR(GX$1),MONTH(GX$1)+InfoM!$H12,InfoM!$I12)</f>
        <v>40196</v>
      </c>
      <c r="GY15" s="30">
        <f ca="1">DATE(YEAR(GY$1),MONTH(GY$1)+InfoM!$H12,InfoM!$I12)</f>
        <v>40227</v>
      </c>
      <c r="GZ15" s="30">
        <f ca="1">DATE(YEAR(GZ$1),MONTH(GZ$1)+InfoM!$H12,InfoM!$I12)</f>
        <v>40255</v>
      </c>
      <c r="HA15" s="30">
        <f ca="1">DATE(YEAR(HA$1),MONTH(HA$1)+InfoM!$H12,InfoM!$I12)</f>
        <v>40286</v>
      </c>
      <c r="HB15" s="30">
        <f ca="1">DATE(YEAR(HB$1),MONTH(HB$1)+InfoM!$H12,InfoM!$I12)</f>
        <v>40316</v>
      </c>
      <c r="HC15" s="30">
        <f ca="1">DATE(YEAR(HC$1),MONTH(HC$1)+InfoM!$H12,InfoM!$I12)</f>
        <v>40347</v>
      </c>
      <c r="HD15" s="30">
        <f ca="1">DATE(YEAR(HD$1),MONTH(HD$1)+InfoM!$H12,InfoM!$I12)</f>
        <v>40377</v>
      </c>
      <c r="HE15" s="30">
        <f ca="1">DATE(YEAR(HE$1),MONTH(HE$1)+InfoM!$H12,InfoM!$I12)</f>
        <v>40408</v>
      </c>
      <c r="HF15" s="30">
        <f ca="1">DATE(YEAR(HF$1),MONTH(HF$1)+InfoM!$H12,InfoM!$I12)</f>
        <v>40439</v>
      </c>
      <c r="HG15" s="30">
        <f ca="1">DATE(YEAR(HG$1),MONTH(HG$1)+InfoM!$H12,InfoM!$I12)</f>
        <v>40469</v>
      </c>
      <c r="HH15" s="30">
        <f ca="1">DATE(YEAR(HH$1),MONTH(HH$1)+InfoM!$H12,InfoM!$I12)</f>
        <v>40500</v>
      </c>
      <c r="HI15" s="30">
        <f ca="1">DATE(YEAR(HI$1),MONTH(HI$1)+InfoM!$H12,InfoM!$I12)</f>
        <v>40530</v>
      </c>
      <c r="HJ15" s="30">
        <f ca="1">DATE(YEAR(HJ$1),MONTH(HJ$1)+InfoM!$H12,InfoM!$I12)</f>
        <v>40561</v>
      </c>
      <c r="HK15" s="30">
        <f ca="1">DATE(YEAR(HK$1),MONTH(HK$1)+InfoM!$H12,InfoM!$I12)</f>
        <v>40592</v>
      </c>
      <c r="HL15" s="30">
        <f ca="1">DATE(YEAR(HL$1),MONTH(HL$1)+InfoM!$H12,InfoM!$I12)</f>
        <v>40620</v>
      </c>
      <c r="HM15" s="30">
        <f ca="1">DATE(YEAR(HM$1),MONTH(HM$1)+InfoM!$H12,InfoM!$I12)</f>
        <v>40651</v>
      </c>
      <c r="HN15" s="30">
        <f ca="1">DATE(YEAR(HN$1),MONTH(HN$1)+InfoM!$H12,InfoM!$I12)</f>
        <v>40681</v>
      </c>
      <c r="HO15" s="30">
        <f ca="1">DATE(YEAR(HO$1),MONTH(HO$1)+InfoM!$H12,InfoM!$I12)</f>
        <v>40712</v>
      </c>
      <c r="HP15" s="30">
        <f ca="1">DATE(YEAR(HP$1),MONTH(HP$1)+InfoM!$H12,InfoM!$I12)</f>
        <v>40742</v>
      </c>
      <c r="HQ15" s="30">
        <f ca="1">DATE(YEAR(HQ$1),MONTH(HQ$1)+InfoM!$H12,InfoM!$I12)</f>
        <v>40773</v>
      </c>
      <c r="HR15" s="30">
        <f ca="1">DATE(YEAR(HR$1),MONTH(HR$1)+InfoM!$H12,InfoM!$I12)</f>
        <v>40804</v>
      </c>
      <c r="HS15" s="30">
        <f ca="1">DATE(YEAR(HS$1),MONTH(HS$1)+InfoM!$H12,InfoM!$I12)</f>
        <v>40834</v>
      </c>
      <c r="HT15" s="30">
        <f ca="1">DATE(YEAR(HT$1),MONTH(HT$1)+InfoM!$H12,InfoM!$I12)</f>
        <v>40865</v>
      </c>
      <c r="HU15" s="30">
        <f ca="1">DATE(YEAR(HU$1),MONTH(HU$1)+InfoM!$H12,InfoM!$I12)</f>
        <v>40895</v>
      </c>
      <c r="HV15" s="30">
        <f ca="1">DATE(YEAR(HV$1),MONTH(HV$1)+InfoM!$H12,InfoM!$I12)</f>
        <v>40926</v>
      </c>
      <c r="HW15" s="30">
        <f ca="1">DATE(YEAR(HW$1),MONTH(HW$1)+InfoM!$H12,InfoM!$I12)</f>
        <v>40957</v>
      </c>
      <c r="HX15" s="30">
        <f ca="1">DATE(YEAR(HX$1),MONTH(HX$1)+InfoM!$H12,InfoM!$I12)</f>
        <v>40986</v>
      </c>
      <c r="HY15" s="30">
        <f ca="1">DATE(YEAR(HY$1),MONTH(HY$1)+InfoM!$H12,InfoM!$I12)</f>
        <v>41017</v>
      </c>
      <c r="HZ15" s="30">
        <f ca="1">DATE(YEAR(HZ$1),MONTH(HZ$1)+InfoM!$H12,InfoM!$I12)</f>
        <v>41047</v>
      </c>
      <c r="IA15" s="30">
        <f ca="1">DATE(YEAR(IA$1),MONTH(IA$1)+InfoM!$H12,InfoM!$I12)</f>
        <v>41078</v>
      </c>
      <c r="IB15" s="30">
        <f ca="1">DATE(YEAR(IB$1),MONTH(IB$1)+InfoM!$H12,InfoM!$I12)</f>
        <v>41108</v>
      </c>
      <c r="IC15" s="30">
        <f ca="1">DATE(YEAR(IC$1),MONTH(IC$1)+InfoM!$H12,InfoM!$I12)</f>
        <v>41139</v>
      </c>
      <c r="ID15" s="30">
        <f ca="1">DATE(YEAR(ID$1),MONTH(ID$1)+InfoM!$H12,InfoM!$I12)</f>
        <v>41170</v>
      </c>
      <c r="IE15" s="30">
        <f ca="1">DATE(YEAR(IE$1),MONTH(IE$1)+InfoM!$H12,InfoM!$I12)</f>
        <v>41200</v>
      </c>
      <c r="IF15" s="30">
        <f ca="1">DATE(YEAR(IF$1),MONTH(IF$1)+InfoM!$H12,InfoM!$I12)</f>
        <v>41231</v>
      </c>
      <c r="IG15" s="30">
        <f ca="1">DATE(YEAR(IG$1),MONTH(IG$1)+InfoM!$H12,InfoM!$I12)</f>
        <v>41261</v>
      </c>
      <c r="IH15" s="30">
        <f ca="1">DATE(YEAR(IH$1),MONTH(IH$1)+InfoM!$H12,InfoM!$I12)</f>
        <v>41292</v>
      </c>
      <c r="II15" s="30">
        <f ca="1">DATE(YEAR(II$1),MONTH(II$1)+InfoM!$H12,InfoM!$I12)</f>
        <v>41323</v>
      </c>
      <c r="IJ15" s="30">
        <f ca="1">DATE(YEAR(IJ$1),MONTH(IJ$1)+InfoM!$H12,InfoM!$I12)</f>
        <v>41351</v>
      </c>
      <c r="IK15" s="30">
        <f ca="1">DATE(YEAR(IK$1),MONTH(IK$1)+InfoM!$H12,InfoM!$I12)</f>
        <v>41382</v>
      </c>
      <c r="IL15" s="30">
        <f ca="1">DATE(YEAR(IL$1),MONTH(IL$1)+InfoM!$H12,InfoM!$I12)</f>
        <v>41412</v>
      </c>
      <c r="IM15" s="30">
        <f ca="1">DATE(YEAR(IM$1),MONTH(IM$1)+InfoM!$H12,InfoM!$I12)</f>
        <v>41443</v>
      </c>
      <c r="IN15" s="30">
        <f ca="1">DATE(YEAR(IN$1),MONTH(IN$1)+InfoM!$H12,InfoM!$I12)</f>
        <v>41473</v>
      </c>
      <c r="IO15" s="30">
        <f ca="1">DATE(YEAR(IO$1),MONTH(IO$1)+InfoM!$H12,InfoM!$I12)</f>
        <v>41504</v>
      </c>
      <c r="IP15" s="30">
        <f ca="1">DATE(YEAR(IP$1),MONTH(IP$1)+InfoM!$H12,InfoM!$I12)</f>
        <v>41535</v>
      </c>
      <c r="IQ15" s="30">
        <f ca="1">DATE(YEAR(IQ$1),MONTH(IQ$1)+InfoM!$H12,InfoM!$I12)</f>
        <v>41565</v>
      </c>
      <c r="IR15" s="30">
        <f ca="1">DATE(YEAR(IR$1),MONTH(IR$1)+InfoM!$H12,InfoM!$I12)</f>
        <v>41596</v>
      </c>
      <c r="IS15" s="30">
        <f ca="1">DATE(YEAR(IS$1),MONTH(IS$1)+InfoM!$H12,InfoM!$I12)</f>
        <v>41626</v>
      </c>
      <c r="IT15" s="30">
        <f ca="1">DATE(YEAR(IT$1),MONTH(IT$1)+InfoM!$H12,InfoM!$I12)</f>
        <v>41657</v>
      </c>
      <c r="IU15" s="30">
        <f ca="1">DATE(YEAR(IU$1),MONTH(IU$1)+InfoM!$H12,InfoM!$I12)</f>
        <v>41688</v>
      </c>
      <c r="IV15" s="30">
        <f ca="1">DATE(YEAR(IV$1),MONTH(IV$1)+InfoM!$H12,InfoM!$I12)</f>
        <v>41716</v>
      </c>
      <c r="IW15" s="30">
        <f ca="1">DATE(YEAR(IW$1),MONTH(IW$1)+InfoM!$H12,InfoM!$I12)</f>
        <v>41747</v>
      </c>
      <c r="IX15" s="30">
        <f ca="1">DATE(YEAR(IX$1),MONTH(IX$1)+InfoM!$H12,InfoM!$I12)</f>
        <v>41777</v>
      </c>
      <c r="IY15" s="30">
        <f ca="1">DATE(YEAR(IY$1),MONTH(IY$1)+InfoM!$H12,InfoM!$I12)</f>
        <v>41808</v>
      </c>
      <c r="IZ15" s="30">
        <f ca="1">DATE(YEAR(IZ$1),MONTH(IZ$1)+InfoM!$H12,InfoM!$I12)</f>
        <v>41838</v>
      </c>
      <c r="JA15" s="30">
        <f ca="1">DATE(YEAR(JA$1),MONTH(JA$1)+InfoM!$H12,InfoM!$I12)</f>
        <v>41869</v>
      </c>
      <c r="JB15" s="30">
        <f ca="1">DATE(YEAR(JB$1),MONTH(JB$1)+InfoM!$H12,InfoM!$I12)</f>
        <v>41900</v>
      </c>
      <c r="JC15" s="30">
        <f ca="1">DATE(YEAR(JC$1),MONTH(JC$1)+InfoM!$H12,InfoM!$I12)</f>
        <v>41930</v>
      </c>
      <c r="JD15" s="30">
        <f ca="1">DATE(YEAR(JD$1),MONTH(JD$1)+InfoM!$H12,InfoM!$I12)</f>
        <v>41961</v>
      </c>
      <c r="JE15" s="30">
        <f ca="1">DATE(YEAR(JE$1),MONTH(JE$1)+InfoM!$H12,InfoM!$I12)</f>
        <v>41991</v>
      </c>
      <c r="JF15" s="30">
        <f ca="1">DATE(YEAR(JF$1),MONTH(JF$1)+InfoM!$H12,InfoM!$I12)</f>
        <v>42022</v>
      </c>
      <c r="JG15" s="30">
        <f ca="1">DATE(YEAR(JG$1),MONTH(JG$1)+InfoM!$H12,InfoM!$I12)</f>
        <v>42053</v>
      </c>
      <c r="JH15" s="30">
        <f ca="1">DATE(YEAR(JH$1),MONTH(JH$1)+InfoM!$H12,InfoM!$I12)</f>
        <v>42081</v>
      </c>
      <c r="JI15" s="30">
        <f ca="1">DATE(YEAR(JI$1),MONTH(JI$1)+InfoM!$H12,InfoM!$I12)</f>
        <v>42112</v>
      </c>
      <c r="JJ15" s="30">
        <f ca="1">DATE(YEAR(JJ$1),MONTH(JJ$1)+InfoM!$H12,InfoM!$I12)</f>
        <v>42142</v>
      </c>
      <c r="JK15" s="30">
        <f ca="1">DATE(YEAR(JK$1),MONTH(JK$1)+InfoM!$H12,InfoM!$I12)</f>
        <v>42173</v>
      </c>
      <c r="JL15" s="30">
        <f ca="1">DATE(YEAR(JL$1),MONTH(JL$1)+InfoM!$H12,InfoM!$I12)</f>
        <v>42203</v>
      </c>
      <c r="JM15" s="30">
        <f ca="1">DATE(YEAR(JM$1),MONTH(JM$1)+InfoM!$H12,InfoM!$I12)</f>
        <v>42234</v>
      </c>
      <c r="JN15" s="30">
        <f ca="1">DATE(YEAR(JN$1),MONTH(JN$1)+InfoM!$H12,InfoM!$I12)</f>
        <v>42265</v>
      </c>
      <c r="JO15" s="30">
        <f ca="1">DATE(YEAR(JO$1),MONTH(JO$1)+InfoM!$H12,InfoM!$I12)</f>
        <v>42295</v>
      </c>
      <c r="JP15" s="30">
        <f ca="1">DATE(YEAR(JP$1),MONTH(JP$1)+InfoM!$H12,InfoM!$I12)</f>
        <v>42326</v>
      </c>
      <c r="JQ15" s="30">
        <f ca="1">DATE(YEAR(JQ$1),MONTH(JQ$1)+InfoM!$H12,InfoM!$I12)</f>
        <v>42356</v>
      </c>
      <c r="JR15" s="30">
        <f ca="1">DATE(YEAR(JR$1),MONTH(JR$1)+InfoM!$H12,InfoM!$I12)</f>
        <v>42387</v>
      </c>
      <c r="JS15" s="30">
        <f ca="1">DATE(YEAR(JS$1),MONTH(JS$1)+InfoM!$H12,InfoM!$I12)</f>
        <v>42418</v>
      </c>
      <c r="JT15" s="30">
        <f ca="1">DATE(YEAR(JT$1),MONTH(JT$1)+InfoM!$H12,InfoM!$I12)</f>
        <v>42447</v>
      </c>
      <c r="JU15" s="30">
        <f ca="1">DATE(YEAR(JU$1),MONTH(JU$1)+InfoM!$H12,InfoM!$I12)</f>
        <v>42478</v>
      </c>
      <c r="JV15" s="30">
        <f ca="1">DATE(YEAR(JV$1),MONTH(JV$1)+InfoM!$H12,InfoM!$I12)</f>
        <v>42508</v>
      </c>
      <c r="JW15" s="30">
        <f ca="1">DATE(YEAR(JW$1),MONTH(JW$1)+InfoM!$H12,InfoM!$I12)</f>
        <v>42539</v>
      </c>
      <c r="JX15" s="30">
        <f ca="1">DATE(YEAR(JX$1),MONTH(JX$1)+InfoM!$H12,InfoM!$I12)</f>
        <v>42569</v>
      </c>
      <c r="JY15" s="30">
        <f ca="1">DATE(YEAR(JY$1),MONTH(JY$1)+InfoM!$H12,InfoM!$I12)</f>
        <v>42600</v>
      </c>
      <c r="JZ15" s="30">
        <f ca="1">DATE(YEAR(JZ$1),MONTH(JZ$1)+InfoM!$H12,InfoM!$I12)</f>
        <v>42631</v>
      </c>
      <c r="KA15" s="30">
        <f ca="1">DATE(YEAR(KA$1),MONTH(KA$1)+InfoM!$H12,InfoM!$I12)</f>
        <v>42661</v>
      </c>
      <c r="KB15" s="30">
        <f ca="1">DATE(YEAR(KB$1),MONTH(KB$1)+InfoM!$H12,InfoM!$I12)</f>
        <v>42692</v>
      </c>
      <c r="KC15" s="30">
        <f ca="1">DATE(YEAR(KC$1),MONTH(KC$1)+InfoM!$H12,InfoM!$I12)</f>
        <v>42722</v>
      </c>
      <c r="KD15" s="30">
        <f ca="1">DATE(YEAR(KD$1),MONTH(KD$1)+InfoM!$H12,InfoM!$I12)</f>
        <v>42753</v>
      </c>
      <c r="KE15" s="30">
        <f ca="1">DATE(YEAR(KE$1),MONTH(KE$1)+InfoM!$H12,InfoM!$I12)</f>
        <v>42784</v>
      </c>
      <c r="KF15" s="30">
        <f ca="1">DATE(YEAR(KF$1),MONTH(KF$1)+InfoM!$H12,InfoM!$I12)</f>
        <v>42812</v>
      </c>
      <c r="KG15" s="30">
        <f ca="1">DATE(YEAR(KG$1),MONTH(KG$1)+InfoM!$H12,InfoM!$I12)</f>
        <v>42843</v>
      </c>
      <c r="KH15" s="30">
        <f ca="1">DATE(YEAR(KH$1),MONTH(KH$1)+InfoM!$H12,InfoM!$I12)</f>
        <v>42873</v>
      </c>
      <c r="KI15" s="30">
        <f ca="1">DATE(YEAR(KI$1),MONTH(KI$1)+InfoM!$H12,InfoM!$I12)</f>
        <v>42904</v>
      </c>
      <c r="KJ15" s="30">
        <f ca="1">DATE(YEAR(KJ$1),MONTH(KJ$1)+InfoM!$H12,InfoM!$I12)</f>
        <v>42934</v>
      </c>
      <c r="KK15" s="30">
        <f ca="1">DATE(YEAR(KK$1),MONTH(KK$1)+InfoM!$H12,InfoM!$I12)</f>
        <v>42965</v>
      </c>
      <c r="KL15" s="30">
        <f ca="1">DATE(YEAR(KL$1),MONTH(KL$1)+InfoM!$H12,InfoM!$I12)</f>
        <v>42996</v>
      </c>
      <c r="KM15" s="30">
        <f ca="1">DATE(YEAR(KM$1),MONTH(KM$1)+InfoM!$H12,InfoM!$I12)</f>
        <v>43026</v>
      </c>
      <c r="KN15" s="30">
        <f ca="1">DATE(YEAR(KN$1),MONTH(KN$1)+InfoM!$H12,InfoM!$I12)</f>
        <v>43057</v>
      </c>
      <c r="KO15" s="30">
        <f ca="1">DATE(YEAR(KO$1),MONTH(KO$1)+InfoM!$H12,InfoM!$I12)</f>
        <v>43087</v>
      </c>
      <c r="KP15" s="30">
        <f ca="1">DATE(YEAR(KP$1),MONTH(KP$1)+InfoM!$H12,InfoM!$I12)</f>
        <v>43118</v>
      </c>
      <c r="KQ15" s="30">
        <f ca="1">DATE(YEAR(KQ$1),MONTH(KQ$1)+InfoM!$H12,InfoM!$I12)</f>
        <v>43149</v>
      </c>
      <c r="KR15" s="30">
        <f ca="1">DATE(YEAR(KR$1),MONTH(KR$1)+InfoM!$H12,InfoM!$I12)</f>
        <v>43177</v>
      </c>
      <c r="KS15" s="30">
        <f ca="1">DATE(YEAR(KS$1),MONTH(KS$1)+InfoM!$H12,InfoM!$I12)</f>
        <v>43208</v>
      </c>
      <c r="KT15" s="30">
        <f ca="1">DATE(YEAR(KT$1),MONTH(KT$1)+InfoM!$H12,InfoM!$I12)</f>
        <v>43238</v>
      </c>
      <c r="KU15" s="30">
        <f ca="1">DATE(YEAR(KU$1),MONTH(KU$1)+InfoM!$H12,InfoM!$I12)</f>
        <v>43269</v>
      </c>
      <c r="KV15" s="30">
        <f ca="1">DATE(YEAR(KV$1),MONTH(KV$1)+InfoM!$H12,InfoM!$I12)</f>
        <v>43299</v>
      </c>
      <c r="KW15" s="30">
        <f ca="1">DATE(YEAR(KW$1),MONTH(KW$1)+InfoM!$H12,InfoM!$I12)</f>
        <v>43330</v>
      </c>
      <c r="KX15" s="30">
        <f ca="1">DATE(YEAR(KX$1),MONTH(KX$1)+InfoM!$H12,InfoM!$I12)</f>
        <v>43361</v>
      </c>
      <c r="KY15" s="30">
        <f ca="1">DATE(YEAR(KY$1),MONTH(KY$1)+InfoM!$H12,InfoM!$I12)</f>
        <v>43391</v>
      </c>
      <c r="KZ15" s="30">
        <f ca="1">DATE(YEAR(KZ$1),MONTH(KZ$1)+InfoM!$H12,InfoM!$I12)</f>
        <v>43422</v>
      </c>
      <c r="LA15" s="30">
        <f ca="1">DATE(YEAR(LA$1),MONTH(LA$1)+InfoM!$H12,InfoM!$I12)</f>
        <v>43452</v>
      </c>
      <c r="LB15" s="30">
        <f ca="1">DATE(YEAR(LB$1),MONTH(LB$1)+InfoM!$H12,InfoM!$I12)</f>
        <v>43483</v>
      </c>
      <c r="LC15" s="30">
        <f ca="1">DATE(YEAR(LC$1),MONTH(LC$1)+InfoM!$H12,InfoM!$I12)</f>
        <v>43514</v>
      </c>
      <c r="LD15" s="30">
        <f ca="1">DATE(YEAR(LD$1),MONTH(LD$1)+InfoM!$H12,InfoM!$I12)</f>
        <v>43542</v>
      </c>
      <c r="LE15" s="30">
        <f ca="1">DATE(YEAR(LE$1),MONTH(LE$1)+InfoM!$H12,InfoM!$I12)</f>
        <v>43573</v>
      </c>
      <c r="LF15" s="30">
        <f ca="1">DATE(YEAR(LF$1),MONTH(LF$1)+InfoM!$H12,InfoM!$I12)</f>
        <v>43603</v>
      </c>
      <c r="LG15" s="30">
        <f ca="1">DATE(YEAR(LG$1),MONTH(LG$1)+InfoM!$H12,InfoM!$I12)</f>
        <v>43634</v>
      </c>
      <c r="LH15" s="30">
        <f ca="1">DATE(YEAR(LH$1),MONTH(LH$1)+InfoM!$H12,InfoM!$I12)</f>
        <v>43664</v>
      </c>
      <c r="LI15" s="30">
        <f ca="1">DATE(YEAR(LI$1),MONTH(LI$1)+InfoM!$H12,InfoM!$I12)</f>
        <v>43695</v>
      </c>
      <c r="LJ15" s="30">
        <f ca="1">DATE(YEAR(LJ$1),MONTH(LJ$1)+InfoM!$H12,InfoM!$I12)</f>
        <v>43726</v>
      </c>
      <c r="LK15" s="30">
        <f ca="1">DATE(YEAR(LK$1),MONTH(LK$1)+InfoM!$H12,InfoM!$I12)</f>
        <v>43756</v>
      </c>
      <c r="LL15" s="30">
        <f ca="1">DATE(YEAR(LL$1),MONTH(LL$1)+InfoM!$H12,InfoM!$I12)</f>
        <v>43787</v>
      </c>
      <c r="LM15" s="30">
        <f ca="1">DATE(YEAR(LM$1),MONTH(LM$1)+InfoM!$H12,InfoM!$I12)</f>
        <v>43817</v>
      </c>
      <c r="LN15" s="30">
        <f ca="1">DATE(YEAR(LN$1),MONTH(LN$1)+InfoM!$H12,InfoM!$I12)</f>
        <v>43848</v>
      </c>
      <c r="LO15" s="30">
        <f ca="1">DATE(YEAR(LO$1),MONTH(LO$1)+InfoM!$H12,InfoM!$I12)</f>
        <v>43879</v>
      </c>
      <c r="LP15" s="30">
        <f ca="1">DATE(YEAR(LP$1),MONTH(LP$1)+InfoM!$H12,InfoM!$I12)</f>
        <v>43908</v>
      </c>
      <c r="LQ15" s="30">
        <f ca="1">DATE(YEAR(LQ$1),MONTH(LQ$1)+InfoM!$H12,InfoM!$I12)</f>
        <v>43939</v>
      </c>
      <c r="LR15" s="30">
        <f ca="1">DATE(YEAR(LR$1),MONTH(LR$1)+InfoM!$H12,InfoM!$I12)</f>
        <v>43969</v>
      </c>
      <c r="LS15" s="30">
        <f ca="1">DATE(YEAR(LS$1),MONTH(LS$1)+InfoM!$H12,InfoM!$I12)</f>
        <v>44000</v>
      </c>
      <c r="LT15" s="30">
        <f ca="1">DATE(YEAR(LT$1),MONTH(LT$1)+InfoM!$H12,InfoM!$I12)</f>
        <v>44030</v>
      </c>
      <c r="LU15" s="30">
        <f ca="1">DATE(YEAR(LU$1),MONTH(LU$1)+InfoM!$H12,InfoM!$I12)</f>
        <v>44061</v>
      </c>
      <c r="LV15" s="30">
        <f ca="1">DATE(YEAR(LV$1),MONTH(LV$1)+InfoM!$H12,InfoM!$I12)</f>
        <v>44092</v>
      </c>
      <c r="LW15" s="30">
        <f ca="1">DATE(YEAR(LW$1),MONTH(LW$1)+InfoM!$H12,InfoM!$I12)</f>
        <v>44122</v>
      </c>
      <c r="LX15" s="30">
        <f ca="1">DATE(YEAR(LX$1),MONTH(LX$1)+InfoM!$H12,InfoM!$I12)</f>
        <v>44153</v>
      </c>
      <c r="LY15" s="30">
        <f ca="1">DATE(YEAR(LY$1),MONTH(LY$1)+InfoM!$H12,InfoM!$I12)</f>
        <v>44183</v>
      </c>
      <c r="LZ15" s="30">
        <f ca="1">DATE(YEAR(LZ$1),MONTH(LZ$1)+InfoM!$H12,InfoM!$I12)</f>
        <v>44214</v>
      </c>
      <c r="MA15" s="30">
        <f ca="1">DATE(YEAR(MA$1),MONTH(MA$1)+InfoM!$H12,InfoM!$I12)</f>
        <v>44245</v>
      </c>
      <c r="MB15" s="30">
        <f ca="1">DATE(YEAR(MB$1),MONTH(MB$1)+InfoM!$H12,InfoM!$I12)</f>
        <v>44273</v>
      </c>
      <c r="MC15" s="30">
        <f ca="1">DATE(YEAR(MC$1),MONTH(MC$1)+InfoM!$H12,InfoM!$I12)</f>
        <v>44304</v>
      </c>
      <c r="MD15" s="30">
        <f ca="1">DATE(YEAR(MD$1),MONTH(MD$1)+InfoM!$H12,InfoM!$I12)</f>
        <v>44334</v>
      </c>
      <c r="ME15" s="30">
        <f ca="1">DATE(YEAR(ME$1),MONTH(ME$1)+InfoM!$H12,InfoM!$I12)</f>
        <v>44365</v>
      </c>
      <c r="MF15" s="30">
        <f ca="1">DATE(YEAR(MF$1),MONTH(MF$1)+InfoM!$H12,InfoM!$I12)</f>
        <v>44395</v>
      </c>
      <c r="MG15" s="30">
        <f ca="1">DATE(YEAR(MG$1),MONTH(MG$1)+InfoM!$H12,InfoM!$I12)</f>
        <v>44426</v>
      </c>
      <c r="MH15" s="30">
        <f ca="1">DATE(YEAR(MH$1),MONTH(MH$1)+InfoM!$H12,InfoM!$I12)</f>
        <v>44457</v>
      </c>
      <c r="MI15" s="30">
        <f ca="1">DATE(YEAR(MI$1),MONTH(MI$1)+InfoM!$H12,InfoM!$I12)</f>
        <v>44487</v>
      </c>
      <c r="MJ15" s="30">
        <f ca="1">DATE(YEAR(MJ$1),MONTH(MJ$1)+InfoM!$H12,InfoM!$I12)</f>
        <v>44518</v>
      </c>
      <c r="MK15" s="30">
        <f ca="1">DATE(YEAR(MK$1),MONTH(MK$1)+InfoM!$H12,InfoM!$I12)</f>
        <v>44548</v>
      </c>
      <c r="ML15" s="30">
        <f ca="1">DATE(YEAR(ML$1),MONTH(ML$1)+InfoM!$H12,InfoM!$I12)</f>
        <v>44579</v>
      </c>
      <c r="MM15" s="30">
        <f ca="1">DATE(YEAR(MM$1),MONTH(MM$1)+InfoM!$H12,InfoM!$I12)</f>
        <v>44610</v>
      </c>
      <c r="MN15" s="30">
        <f ca="1">DATE(YEAR(MN$1),MONTH(MN$1)+InfoM!$H12,InfoM!$I12)</f>
        <v>44638</v>
      </c>
      <c r="MO15" s="30">
        <f ca="1">DATE(YEAR(MO$1),MONTH(MO$1)+InfoM!$H12,InfoM!$I12)</f>
        <v>44669</v>
      </c>
      <c r="MP15" s="30">
        <f ca="1">DATE(YEAR(MP$1),MONTH(MP$1)+InfoM!$H12,InfoM!$I12)</f>
        <v>44699</v>
      </c>
      <c r="MQ15" s="30">
        <f ca="1">DATE(YEAR(MQ$1),MONTH(MQ$1)+InfoM!$H12,InfoM!$I12)</f>
        <v>44730</v>
      </c>
      <c r="MR15" s="30">
        <f ca="1">DATE(YEAR(MR$1),MONTH(MR$1)+InfoM!$H12,InfoM!$I12)</f>
        <v>44760</v>
      </c>
      <c r="MS15" s="30">
        <f ca="1">DATE(YEAR(MS$1),MONTH(MS$1)+InfoM!$H12,InfoM!$I12)</f>
        <v>44791</v>
      </c>
      <c r="MT15" s="30">
        <f ca="1">DATE(YEAR(MT$1),MONTH(MT$1)+InfoM!$H12,InfoM!$I12)</f>
        <v>44822</v>
      </c>
      <c r="MU15" s="30">
        <f ca="1">DATE(YEAR(MU$1),MONTH(MU$1)+InfoM!$H12,InfoM!$I12)</f>
        <v>44852</v>
      </c>
      <c r="MV15" s="30">
        <f ca="1">DATE(YEAR(MV$1),MONTH(MV$1)+InfoM!$H12,InfoM!$I12)</f>
        <v>44883</v>
      </c>
      <c r="MW15" s="30">
        <f ca="1">DATE(YEAR(MW$1),MONTH(MW$1)+InfoM!$H12,InfoM!$I12)</f>
        <v>44913</v>
      </c>
      <c r="MX15" s="30">
        <f ca="1">DATE(YEAR(MX$1),MONTH(MX$1)+InfoM!$H12,InfoM!$I12)</f>
        <v>44944</v>
      </c>
      <c r="MY15" s="30">
        <f ca="1">DATE(YEAR(MY$1),MONTH(MY$1)+InfoM!$H12,InfoM!$I12)</f>
        <v>44975</v>
      </c>
      <c r="MZ15" s="30">
        <f ca="1">DATE(YEAR(MZ$1),MONTH(MZ$1)+InfoM!$H12,InfoM!$I12)</f>
        <v>45003</v>
      </c>
      <c r="NA15" s="30">
        <f ca="1">DATE(YEAR(NA$1),MONTH(NA$1)+InfoM!$H12,InfoM!$I12)</f>
        <v>45034</v>
      </c>
      <c r="NB15" s="30">
        <f ca="1">DATE(YEAR(NB$1),MONTH(NB$1)+InfoM!$H12,InfoM!$I12)</f>
        <v>45064</v>
      </c>
      <c r="NC15" s="30">
        <f ca="1">DATE(YEAR(NC$1),MONTH(NC$1)+InfoM!$H12,InfoM!$I12)</f>
        <v>45095</v>
      </c>
      <c r="ND15" s="30">
        <f ca="1">DATE(YEAR(ND$1),MONTH(ND$1)+InfoM!$H12,InfoM!$I12)</f>
        <v>45125</v>
      </c>
      <c r="NE15" s="30">
        <f ca="1">DATE(YEAR(NE$1),MONTH(NE$1)+InfoM!$H12,InfoM!$I12)</f>
        <v>45156</v>
      </c>
      <c r="NF15" s="30">
        <f ca="1">DATE(YEAR(NF$1),MONTH(NF$1)+InfoM!$H12,InfoM!$I12)</f>
        <v>45187</v>
      </c>
      <c r="NG15" s="30">
        <f ca="1">DATE(YEAR(NG$1),MONTH(NG$1)+InfoM!$H12,InfoM!$I12)</f>
        <v>45217</v>
      </c>
      <c r="NH15" s="30">
        <f ca="1">DATE(YEAR(NH$1),MONTH(NH$1)+InfoM!$H12,InfoM!$I12)</f>
        <v>45248</v>
      </c>
      <c r="NI15" s="30">
        <f ca="1">DATE(YEAR(NI$1),MONTH(NI$1)+InfoM!$H12,InfoM!$I12)</f>
        <v>45278</v>
      </c>
      <c r="NJ15" s="30">
        <f ca="1">DATE(YEAR(NJ$1),MONTH(NJ$1)+InfoM!$H12,InfoM!$I12)</f>
        <v>45309</v>
      </c>
      <c r="NK15" s="30">
        <f ca="1">DATE(YEAR(NK$1),MONTH(NK$1)+InfoM!$H12,InfoM!$I12)</f>
        <v>45340</v>
      </c>
      <c r="NL15" s="30">
        <f ca="1">DATE(YEAR(NL$1),MONTH(NL$1)+InfoM!$H12,InfoM!$I12)</f>
        <v>45369</v>
      </c>
      <c r="NM15" s="30">
        <f ca="1">DATE(YEAR(NM$1),MONTH(NM$1)+InfoM!$H12,InfoM!$I12)</f>
        <v>45400</v>
      </c>
      <c r="NN15" s="30">
        <f ca="1">DATE(YEAR(NN$1),MONTH(NN$1)+InfoM!$H12,InfoM!$I12)</f>
        <v>45430</v>
      </c>
      <c r="NO15" s="30">
        <f ca="1">DATE(YEAR(NO$1),MONTH(NO$1)+InfoM!$H12,InfoM!$I12)</f>
        <v>45461</v>
      </c>
      <c r="NP15" s="30">
        <f ca="1">DATE(YEAR(NP$1),MONTH(NP$1)+InfoM!$H12,InfoM!$I12)</f>
        <v>45491</v>
      </c>
      <c r="NQ15" s="30">
        <f ca="1">DATE(YEAR(NQ$1),MONTH(NQ$1)+InfoM!$H12,InfoM!$I12)</f>
        <v>45522</v>
      </c>
      <c r="NR15" s="30">
        <f ca="1">DATE(YEAR(NR$1),MONTH(NR$1)+InfoM!$H12,InfoM!$I12)</f>
        <v>45553</v>
      </c>
      <c r="NS15" s="30">
        <f ca="1">DATE(YEAR(NS$1),MONTH(NS$1)+InfoM!$H12,InfoM!$I12)</f>
        <v>45583</v>
      </c>
      <c r="NT15" s="30">
        <f ca="1">DATE(YEAR(NT$1),MONTH(NT$1)+InfoM!$H12,InfoM!$I12)</f>
        <v>45614</v>
      </c>
      <c r="NU15" s="30">
        <f ca="1">DATE(YEAR(NU$1),MONTH(NU$1)+InfoM!$H12,InfoM!$I12)</f>
        <v>45644</v>
      </c>
      <c r="NV15" s="30">
        <f ca="1">DATE(YEAR(NV$1),MONTH(NV$1)+InfoM!$H12,InfoM!$I12)</f>
        <v>45675</v>
      </c>
      <c r="NW15" s="30">
        <f ca="1">DATE(YEAR(NW$1),MONTH(NW$1)+InfoM!$H12,InfoM!$I12)</f>
        <v>45706</v>
      </c>
      <c r="NX15" s="30">
        <f ca="1">DATE(YEAR(NX$1),MONTH(NX$1)+InfoM!$H12,InfoM!$I12)</f>
        <v>45734</v>
      </c>
      <c r="NY15" s="30">
        <f ca="1">DATE(YEAR(NY$1),MONTH(NY$1)+InfoM!$H12,InfoM!$I12)</f>
        <v>45765</v>
      </c>
      <c r="NZ15" s="30">
        <f ca="1">DATE(YEAR(NZ$1),MONTH(NZ$1)+InfoM!$H12,InfoM!$I12)</f>
        <v>45795</v>
      </c>
      <c r="OA15" s="30">
        <f ca="1">DATE(YEAR(OA$1),MONTH(OA$1)+InfoM!$H12,InfoM!$I12)</f>
        <v>45826</v>
      </c>
      <c r="OB15" s="30">
        <f ca="1">DATE(YEAR(OB$1),MONTH(OB$1)+InfoM!$H12,InfoM!$I12)</f>
        <v>45856</v>
      </c>
      <c r="OC15" s="30">
        <f ca="1">DATE(YEAR(OC$1),MONTH(OC$1)+InfoM!$H12,InfoM!$I12)</f>
        <v>45887</v>
      </c>
      <c r="OD15" s="30">
        <f ca="1">DATE(YEAR(OD$1),MONTH(OD$1)+InfoM!$H12,InfoM!$I12)</f>
        <v>45918</v>
      </c>
      <c r="OE15" s="30">
        <f ca="1">DATE(YEAR(OE$1),MONTH(OE$1)+InfoM!$H12,InfoM!$I12)</f>
        <v>45948</v>
      </c>
      <c r="OF15" s="30">
        <f ca="1">DATE(YEAR(OF$1),MONTH(OF$1)+InfoM!$H12,InfoM!$I12)</f>
        <v>45979</v>
      </c>
      <c r="OG15" s="30">
        <f ca="1">DATE(YEAR(OG$1),MONTH(OG$1)+InfoM!$H12,InfoM!$I12)</f>
        <v>46009</v>
      </c>
      <c r="OH15" s="30">
        <f ca="1">DATE(YEAR(OH$1),MONTH(OH$1)+InfoM!$H12,InfoM!$I12)</f>
        <v>46040</v>
      </c>
      <c r="OI15" s="30">
        <f ca="1">DATE(YEAR(OI$1),MONTH(OI$1)+InfoM!$H12,InfoM!$I12)</f>
        <v>46071</v>
      </c>
      <c r="OJ15" s="30">
        <f ca="1">DATE(YEAR(OJ$1),MONTH(OJ$1)+InfoM!$H12,InfoM!$I12)</f>
        <v>46099</v>
      </c>
      <c r="OK15" s="30">
        <f ca="1">DATE(YEAR(OK$1),MONTH(OK$1)+InfoM!$H12,InfoM!$I12)</f>
        <v>46130</v>
      </c>
      <c r="OL15" s="30">
        <f ca="1">DATE(YEAR(OL$1),MONTH(OL$1)+InfoM!$H12,InfoM!$I12)</f>
        <v>46160</v>
      </c>
      <c r="OM15" s="30">
        <f ca="1">DATE(YEAR(OM$1),MONTH(OM$1)+InfoM!$H12,InfoM!$I12)</f>
        <v>46191</v>
      </c>
      <c r="ON15" s="30">
        <f ca="1">DATE(YEAR(ON$1),MONTH(ON$1)+InfoM!$H12,InfoM!$I12)</f>
        <v>46221</v>
      </c>
      <c r="OO15" s="30">
        <f ca="1">DATE(YEAR(OO$1),MONTH(OO$1)+InfoM!$H12,InfoM!$I12)</f>
        <v>46252</v>
      </c>
      <c r="OP15" s="30">
        <f ca="1">DATE(YEAR(OP$1),MONTH(OP$1)+InfoM!$H12,InfoM!$I12)</f>
        <v>46283</v>
      </c>
      <c r="OQ15" s="30">
        <f ca="1">DATE(YEAR(OQ$1),MONTH(OQ$1)+InfoM!$H12,InfoM!$I12)</f>
        <v>46313</v>
      </c>
      <c r="OR15" s="30">
        <f ca="1">DATE(YEAR(OR$1),MONTH(OR$1)+InfoM!$H12,InfoM!$I12)</f>
        <v>46344</v>
      </c>
      <c r="OS15" s="30">
        <f ca="1">DATE(YEAR(OS$1),MONTH(OS$1)+InfoM!$H12,InfoM!$I12)</f>
        <v>46374</v>
      </c>
      <c r="OT15" s="30">
        <f ca="1">DATE(YEAR(OT$1),MONTH(OT$1)+InfoM!$H12,InfoM!$I12)</f>
        <v>46405</v>
      </c>
    </row>
    <row r="16" spans="1:410" x14ac:dyDescent="0.35">
      <c r="A16" s="1"/>
      <c r="B16" s="10">
        <f>SUM(B2:B15)</f>
        <v>12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</row>
  </sheetData>
  <autoFilter ref="A1:LZ5" xr:uid="{5E822B81-5F14-4B55-B2D4-8A98223D192C}"/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j78542b1fffc4a1c84659474212e3133>
    <MediaServiceMetadata xmlns="3e67d855-eb8c-4ffd-bce5-6c5a51e71190" xsi:nil="true"/>
    <MediaServiceFastMetadata xmlns="3e67d855-eb8c-4ffd-bce5-6c5a51e71190" xsi:nil="true"/>
    <ia017ac09b1942648b563fe0b2b14d52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ERMR</TermName>
          <TermId xmlns="http://schemas.microsoft.com/office/infopath/2007/PartnerControls">1b0f6326-b8c9-47db-9084-1685569433b2</TermId>
        </TermInfo>
      </Terms>
    </ia017ac09b1942648b563fe0b2b14d52>
    <lcf76f155ced4ddcb4097134ff3c332f xmlns="3e67d855-eb8c-4ffd-bce5-6c5a51e7119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38328854B424F878FB89814A10660" ma:contentTypeVersion="24" ma:contentTypeDescription="Create a new document." ma:contentTypeScope="" ma:versionID="4b97cf3241078ee4804ed168af0d258d">
  <xsd:schema xmlns:xsd="http://www.w3.org/2001/XMLSchema" xmlns:xs="http://www.w3.org/2001/XMLSchema" xmlns:p="http://schemas.microsoft.com/office/2006/metadata/properties" xmlns:ns2="c1fdd505-2570-46c2-bd04-3e0f2d874cf5" xmlns:ns3="3e67d855-eb8c-4ffd-bce5-6c5a51e71190" xmlns:ns4="0194400f-db8c-4bb9-acc2-b4cfa8a4e7ff" targetNamespace="http://schemas.microsoft.com/office/2006/metadata/properties" ma:root="true" ma:fieldsID="64270ac9dd9147218550ae430cede8a2" ns2:_="" ns3:_="" ns4:_="">
    <xsd:import namespace="c1fdd505-2570-46c2-bd04-3e0f2d874cf5"/>
    <xsd:import namespace="3e67d855-eb8c-4ffd-bce5-6c5a51e71190"/>
    <xsd:import namespace="0194400f-db8c-4bb9-acc2-b4cfa8a4e7ff"/>
    <xsd:element name="properties">
      <xsd:complexType>
        <xsd:sequence>
          <xsd:element name="documentManagement">
            <xsd:complexType>
              <xsd:all>
                <xsd:element ref="ns2:j78542b1fffc4a1c84659474212e3133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2:ia017ac09b1942648b563fe0b2b14d52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j78542b1fffc4a1c84659474212e3133" ma:index="9" nillable="true" ma:taxonomy="true" ma:internalName="j78542b1fffc4a1c84659474212e3133" ma:taxonomyFieldName="ADBContentGroup" ma:displayName="Content Group" ma:default="3;#ERCD|ab3ec0c9-2ce1-477e-8dd0-15d1f7f6b467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a017ac09b1942648b563fe0b2b14d52" ma:index="20" nillable="true" ma:taxonomy="true" ma:internalName="ia017ac09b1942648b563fe0b2b14d52" ma:taxonomyFieldName="ADBDivision" ma:displayName="Division" ma:default="" ma:fieldId="{2a017ac0-9b19-4264-8b56-3fe0b2b14d52}" ma:sspId="115af50e-efb3-4a0e-b425-875ff625e09e" ma:termSetId="d736278f-2140-40cc-b46b-6a0ab0de2d2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7d855-eb8c-4ffd-bce5-6c5a51e71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fals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fals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4400f-db8c-4bb9-acc2-b4cfa8a4e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3881C-2544-48B5-BABA-97D25898F9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C82102-7CB7-4996-927B-F3BF17749174}">
  <ds:schemaRefs>
    <ds:schemaRef ds:uri="http://schemas.microsoft.com/office/2006/metadata/properties"/>
    <ds:schemaRef ds:uri="http://schemas.microsoft.com/office/infopath/2007/PartnerControls"/>
    <ds:schemaRef ds:uri="c1fdd505-2570-46c2-bd04-3e0f2d874cf5"/>
    <ds:schemaRef ds:uri="3e67d855-eb8c-4ffd-bce5-6c5a51e71190"/>
  </ds:schemaRefs>
</ds:datastoreItem>
</file>

<file path=customXml/itemProps3.xml><?xml version="1.0" encoding="utf-8"?>
<ds:datastoreItem xmlns:ds="http://schemas.openxmlformats.org/officeDocument/2006/customXml" ds:itemID="{BB466C4A-5DDC-4A7F-93A2-CCE7B7797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dd505-2570-46c2-bd04-3e0f2d874cf5"/>
    <ds:schemaRef ds:uri="3e67d855-eb8c-4ffd-bce5-6c5a51e71190"/>
    <ds:schemaRef ds:uri="0194400f-db8c-4bb9-acc2-b4cfa8a4e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InfoQ</vt:lpstr>
      <vt:lpstr>QuarterlyData</vt:lpstr>
      <vt:lpstr>InfoM</vt:lpstr>
      <vt:lpstr>MonthlyData</vt:lpstr>
      <vt:lpstr>Calendar</vt:lpstr>
    </vt:vector>
  </TitlesOfParts>
  <Manager/>
  <Company>Asian Development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 Of Information Systems &amp; Technology</dc:creator>
  <cp:keywords/>
  <dc:description/>
  <cp:lastModifiedBy>taufiq ramadhan</cp:lastModifiedBy>
  <cp:revision/>
  <dcterms:created xsi:type="dcterms:W3CDTF">2014-07-18T00:44:19Z</dcterms:created>
  <dcterms:modified xsi:type="dcterms:W3CDTF">2026-05-06T01:44:34Z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ph-adb-erd</vt:lpwstr>
  </property>
  <property fmtid="{D5CDD505-2E9C-101B-9397-08002B2CF9AE}" pid="3" name="CDMCEIC_ownerFullName">
    <vt:lpwstr>ERD - Pilipinas Quising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d61536b25a8a4fedb48bb564279be82a">
    <vt:lpwstr>ERCD|ab3ec0c9-2ce1-477e-8dd0-15d1f7f6b467</vt:lpwstr>
  </property>
  <property fmtid="{D5CDD505-2E9C-101B-9397-08002B2CF9AE}" pid="7" name="ContentTypeId">
    <vt:lpwstr>0x010100C7538328854B424F878FB89814A10660</vt:lpwstr>
  </property>
  <property fmtid="{D5CDD505-2E9C-101B-9397-08002B2CF9AE}" pid="8" name="TaxCatchAll">
    <vt:lpwstr>4;#ERCD|ab3ec0c9-2ce1-477e-8dd0-15d1f7f6b467;#3;#ERCD|ab3ec0c9-2ce1-477e-8dd0-15d1f7f6b467;#1;#English|16ac8743-31bb-43f8-9a73-533a041667d6;#7;#ERMR|1b0f6326-b8c9-47db-9084-1685569433b2</vt:lpwstr>
  </property>
  <property fmtid="{D5CDD505-2E9C-101B-9397-08002B2CF9AE}" pid="9" name="h00e4aaaf4624e24a7df7f06faa038c6">
    <vt:lpwstr>English|16ac8743-31bb-43f8-9a73-533a041667d6</vt:lpwstr>
  </property>
  <property fmtid="{D5CDD505-2E9C-101B-9397-08002B2CF9AE}" pid="10" name="ADBDepartmentOwner">
    <vt:lpwstr>4;#ERCD|ab3ec0c9-2ce1-477e-8dd0-15d1f7f6b467</vt:lpwstr>
  </property>
  <property fmtid="{D5CDD505-2E9C-101B-9397-08002B2CF9AE}" pid="11" name="ADBContentGroup">
    <vt:lpwstr>3;#ERCD|ab3ec0c9-2ce1-477e-8dd0-15d1f7f6b467</vt:lpwstr>
  </property>
  <property fmtid="{D5CDD505-2E9C-101B-9397-08002B2CF9AE}" pid="12" name="ADBDocumentLanguage">
    <vt:lpwstr>1;#English|16ac8743-31bb-43f8-9a73-533a041667d6</vt:lpwstr>
  </property>
  <property fmtid="{D5CDD505-2E9C-101B-9397-08002B2CF9AE}" pid="13" name="MSIP_Label_817d4574-7375-4d17-b29c-6e4c6df0fcb0_Enabled">
    <vt:lpwstr>true</vt:lpwstr>
  </property>
  <property fmtid="{D5CDD505-2E9C-101B-9397-08002B2CF9AE}" pid="14" name="MSIP_Label_817d4574-7375-4d17-b29c-6e4c6df0fcb0_SetDate">
    <vt:lpwstr>2021-09-24T01:28:34Z</vt:lpwstr>
  </property>
  <property fmtid="{D5CDD505-2E9C-101B-9397-08002B2CF9AE}" pid="15" name="MSIP_Label_817d4574-7375-4d17-b29c-6e4c6df0fcb0_Method">
    <vt:lpwstr>Standard</vt:lpwstr>
  </property>
  <property fmtid="{D5CDD505-2E9C-101B-9397-08002B2CF9AE}" pid="16" name="MSIP_Label_817d4574-7375-4d17-b29c-6e4c6df0fcb0_Name">
    <vt:lpwstr>ADB Internal</vt:lpwstr>
  </property>
  <property fmtid="{D5CDD505-2E9C-101B-9397-08002B2CF9AE}" pid="17" name="MSIP_Label_817d4574-7375-4d17-b29c-6e4c6df0fcb0_SiteId">
    <vt:lpwstr>9495d6bb-41c2-4c58-848f-92e52cf3d640</vt:lpwstr>
  </property>
  <property fmtid="{D5CDD505-2E9C-101B-9397-08002B2CF9AE}" pid="18" name="MSIP_Label_817d4574-7375-4d17-b29c-6e4c6df0fcb0_ActionId">
    <vt:lpwstr>0d446683-afa4-409c-b687-da779ff865b2</vt:lpwstr>
  </property>
  <property fmtid="{D5CDD505-2E9C-101B-9397-08002B2CF9AE}" pid="19" name="MSIP_Label_817d4574-7375-4d17-b29c-6e4c6df0fcb0_ContentBits">
    <vt:lpwstr>2</vt:lpwstr>
  </property>
  <property fmtid="{D5CDD505-2E9C-101B-9397-08002B2CF9AE}" pid="20" name="MediaServiceImageTags">
    <vt:lpwstr/>
  </property>
  <property fmtid="{D5CDD505-2E9C-101B-9397-08002B2CF9AE}" pid="21" name="ADBDivision">
    <vt:lpwstr>7;#ERMR|1b0f6326-b8c9-47db-9084-1685569433b2</vt:lpwstr>
  </property>
  <property fmtid="{D5CDD505-2E9C-101B-9397-08002B2CF9AE}" pid="22" name="ADBSector">
    <vt:lpwstr/>
  </property>
  <property fmtid="{D5CDD505-2E9C-101B-9397-08002B2CF9AE}" pid="23" name="d01a0ce1b141461dbfb235a3ab729a2c">
    <vt:lpwstr/>
  </property>
  <property fmtid="{D5CDD505-2E9C-101B-9397-08002B2CF9AE}" pid="24" name="ADBDocumentSecurity">
    <vt:lpwstr/>
  </property>
  <property fmtid="{D5CDD505-2E9C-101B-9397-08002B2CF9AE}" pid="25" name="ADBDocumentType">
    <vt:lpwstr/>
  </property>
  <property fmtid="{D5CDD505-2E9C-101B-9397-08002B2CF9AE}" pid="26" name="p030e467f78f45b4ae8f7e2c17ea4d82">
    <vt:lpwstr/>
  </property>
  <property fmtid="{D5CDD505-2E9C-101B-9397-08002B2CF9AE}" pid="27" name="a37ff23a602146d4934a49238d370ca5">
    <vt:lpwstr/>
  </property>
  <property fmtid="{D5CDD505-2E9C-101B-9397-08002B2CF9AE}" pid="28" name="k985dbdc596c44d7acaf8184f33920f0">
    <vt:lpwstr/>
  </property>
  <property fmtid="{D5CDD505-2E9C-101B-9397-08002B2CF9AE}" pid="29" name="ADBCountry">
    <vt:lpwstr/>
  </property>
</Properties>
</file>